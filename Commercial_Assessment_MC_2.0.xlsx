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025"/>
  <workbookPr defaultThemeVersion="166925"/>
  <mc:AlternateContent xmlns:mc="http://schemas.openxmlformats.org/markup-compatibility/2006">
    <mc:Choice Requires="x15">
      <x15ac:absPath xmlns:x15ac="http://schemas.microsoft.com/office/spreadsheetml/2010/11/ac" url="C:\Users\amcclary\Documents\GitHub\PIA_Web_Tool\"/>
    </mc:Choice>
  </mc:AlternateContent>
  <xr:revisionPtr revIDLastSave="0" documentId="13_ncr:1_{4C67C1CC-B6BC-48AF-9220-6DB0AF3EA145}" xr6:coauthVersionLast="47" xr6:coauthVersionMax="47" xr10:uidLastSave="{00000000-0000-0000-0000-000000000000}"/>
  <bookViews>
    <workbookView xWindow="-120" yWindow="-120" windowWidth="29040" windowHeight="15720" activeTab="5" xr2:uid="{5C0E9020-961F-4B95-A886-A07748039AB8}"/>
  </bookViews>
  <sheets>
    <sheet name="LA" sheetId="1" r:id="rId1"/>
    <sheet name="LA Zones" sheetId="3" r:id="rId2"/>
    <sheet name="Use Grouping" sheetId="4" r:id="rId3"/>
    <sheet name="List" sheetId="5" r:id="rId4"/>
    <sheet name="list_clean" sheetId="9" r:id="rId5"/>
    <sheet name="list_clean1" sheetId="10" r:id="rId6"/>
    <sheet name="Flags" sheetId="7" r:id="rId7"/>
    <sheet name="Variables" sheetId="8" r:id="rId8"/>
    <sheet name="Notes" sheetId="6" r:id="rId9"/>
  </sheets>
  <definedNames>
    <definedName name="_xlnm._FilterDatabase" localSheetId="0" hidden="1">LA!$A$1:$K$111</definedName>
  </definedNames>
  <calcPr calcId="191029" calcOnSave="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40" i="6" l="1"/>
  <c r="U41" i="6"/>
  <c r="U35" i="6"/>
  <c r="U38" i="6"/>
  <c r="T48" i="6"/>
  <c r="S48"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tc={B7BFBC85-2A1F-427A-AFBA-AA1F2B33754B}</author>
    <author>tc={5B94E020-053A-4CF0-8AFF-AC3E3DBFC8D8}</author>
    <author>tc={48E7F71F-6082-4601-9F7E-9B1EE2B05BEB}</author>
    <author>tc={6A7CC235-1734-4BBB-BB91-B7866C6C377F}</author>
    <author>tc={A3757B33-6491-48E1-8EB5-004A9C50A14C}</author>
    <author>tc={4CFEDCCC-A63B-495E-B32E-7C042CD48CC3}</author>
    <author>tc={A11F1E5E-B580-4A44-8926-2C7498016420}</author>
    <author>tc={6E58DAFB-88F4-40F4-A988-88BFB42E9CC5}</author>
    <author>tc={2FCA7129-2D69-421E-AC6E-5C040B5487F3}</author>
    <author>tc={0D00E74D-E6FC-4F02-86DD-685062F3FB79}</author>
    <author>tc={6B67BB98-37EF-409A-98A4-1524B0984878}</author>
  </authors>
  <commentList>
    <comment ref="F1" authorId="0" shapeId="0" xr:uid="{B7BFBC85-2A1F-427A-AFBA-AA1F2B33754B}">
      <text>
        <t>[Threaded comment]
Your version of Excel allows you to read this threaded comment; however, any edits to it will get removed if the file is opened in a newer version of Excel. Learn more: https://go.microsoft.com/fwlink/?linkid=870924
Comment:
    From VMT Interim Guidance:
If more than one rate is listed (for instance, rate per 1,000 sf of GFA versus rate per employee), the rate that results in the highest number of trips must be used. The rates shown are in Daily Vehicle Trip Ends (DVTE) per the unit shown.</t>
      </text>
    </comment>
    <comment ref="G1" authorId="1" shapeId="0" xr:uid="{5B94E020-053A-4CF0-8AFF-AC3E3DBFC8D8}">
      <text>
        <t>[Threaded comment]
Your version of Excel allows you to read this threaded comment; however, any edits to it will get removed if the file is opened in a newer version of Excel. Learn more: https://go.microsoft.com/fwlink/?linkid=870924
Comment:
    based on the Institute of Transportation Engineers (ITE) Trip Generation Manual, 10th Edition (2017), provided pursuant to Section 65.2.3.H of the TRPA Code of Ordinances
Reply:
    where available the trip table uses the trip rates for the “General Urban/Suburban” category</t>
      </text>
    </comment>
    <comment ref="G7" authorId="2" shapeId="0" xr:uid="{48E7F71F-6082-4601-9F7E-9B1EE2B05BEB}">
      <text>
        <t>[Threaded comment]
Your version of Excel allows you to read this threaded comment; however, any edits to it will get removed if the file is opened in a newer version of Excel. Learn more: https://go.microsoft.com/fwlink/?linkid=870924
Comment:
    8th edition</t>
      </text>
    </comment>
    <comment ref="F11" authorId="3" shapeId="0" xr:uid="{6A7CC235-1734-4BBB-BB91-B7866C6C377F}">
      <text>
        <t>[Threaded comment]
Your version of Excel allows you to read this threaded comment; however, any edits to it will get removed if the file is opened in a newer version of Excel. Learn more: https://go.microsoft.com/fwlink/?linkid=870924
Comment:
    TRPA rounds the ITE rate to 10.0 per single-family unit for ease of calculation and consistency with application materials</t>
      </text>
    </comment>
    <comment ref="G11" authorId="4" shapeId="0" xr:uid="{A3757B33-6491-48E1-8EB5-004A9C50A14C}">
      <text>
        <t>[Threaded comment]
Your version of Excel allows you to read this threaded comment; however, any edits to it will get removed if the file is opened in a newer version of Excel. Learn more: https://go.microsoft.com/fwlink/?linkid=870924
Comment:
    LA used ITE 210 for SFR</t>
      </text>
    </comment>
    <comment ref="G16" authorId="5" shapeId="0" xr:uid="{4CFEDCCC-A63B-495E-B32E-7C042CD48CC3}">
      <text>
        <t>[Threaded comment]
Your version of Excel allows you to read this threaded comment; however, any edits to it will get removed if the file is opened in a newer version of Excel. Learn more: https://go.microsoft.com/fwlink/?linkid=870924
Comment:
    ITE 8th Edition</t>
      </text>
    </comment>
    <comment ref="G26" authorId="6" shapeId="0" xr:uid="{A11F1E5E-B580-4A44-8926-2C7498016420}">
      <text>
        <t>[Threaded comment]
Your version of Excel allows you to read this threaded comment; however, any edits to it will get removed if the file is opened in a newer version of Excel. Learn more: https://go.microsoft.com/fwlink/?linkid=870924
Comment:
    a trip rate for a given use is either not available in the ITE Manual or the rate provided in the ITE Manual is based on a small sample size which may not be representative of conditions at Lake Tahoe</t>
      </text>
    </comment>
    <comment ref="G34" authorId="7" shapeId="0" xr:uid="{6E58DAFB-88F4-40F4-A988-88BFB42E9CC5}">
      <text>
        <t>[Threaded comment]
Your version of Excel allows you to read this threaded comment; however, any edits to it will get removed if the file is opened in a newer version of Excel. Learn more: https://go.microsoft.com/fwlink/?linkid=870924
Comment:
    a trip rate for a given use is either not available in the ITE Manual or the rate provided in the ITE Manual is based on a small sample size which may not be representative of conditions at Lake Tahoe</t>
      </text>
    </comment>
    <comment ref="G40" authorId="8" shapeId="0" xr:uid="{2FCA7129-2D69-421E-AC6E-5C040B5487F3}">
      <text>
        <t>[Threaded comment]
Your version of Excel allows you to read this threaded comment; however, any edits to it will get removed if the file is opened in a newer version of Excel. Learn more: https://go.microsoft.com/fwlink/?linkid=870924
Comment:
    a trip rate for a given use is either not available in the ITE Manual or the rate provided in the ITE Manual is based on a small sample size which may not be representative of conditions at Lake Tahoe</t>
      </text>
    </comment>
    <comment ref="G76" authorId="9" shapeId="0" xr:uid="{0D00E74D-E6FC-4F02-86DD-685062F3FB79}">
      <text>
        <t>[Threaded comment]
Your version of Excel allows you to read this threaded comment; however, any edits to it will get removed if the file is opened in a newer version of Excel. Learn more: https://go.microsoft.com/fwlink/?linkid=870924
Comment:
    a trip rate for a given use is either not available in the ITE Manual or the rate provided in the ITE Manual is based on a small sample size which may not be representative of conditions at Lake Tahoe</t>
      </text>
    </comment>
    <comment ref="G77" authorId="10" shapeId="0" xr:uid="{6B67BB98-37EF-409A-98A4-1524B0984878}">
      <text>
        <t>[Threaded comment]
Your version of Excel allows you to read this threaded comment; however, any edits to it will get removed if the file is opened in a newer version of Excel. Learn more: https://go.microsoft.com/fwlink/?linkid=870924
Comment:
    a trip rate for a given use is either not available in the ITE Manual or the rate provided in the ITE Manual is based on a small sample size which may not be representative of conditions at Lake Tahoe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tc={9AF57EFA-3335-4323-B18D-1C2F591AEB94}</author>
    <author>tc={3404CC39-1799-484C-AACE-EBE99B9FD63F}</author>
    <author>tc={D9F6C10A-6CFA-4E3F-9548-22F7FF746B90}</author>
    <author>tc={8A6E5998-574E-4630-9AEB-26F4B2ECC0C6}</author>
    <author>tc={DFD419E5-1E5E-4B3C-9FBA-1BDBF91BA189}</author>
    <author>tc={0F8A7761-F447-4D03-8C18-8D6EE538AA11}</author>
    <author>tc={AE28B0B2-B8AF-45B1-A17B-6DC3A9F48570}</author>
    <author>tc={DB26B49F-AB84-4347-AFD9-CD0A5D49C17D}</author>
  </authors>
  <commentList>
    <comment ref="F2" authorId="0" shapeId="0" xr:uid="{9AF57EFA-3335-4323-B18D-1C2F591AEB94}">
      <text>
        <t>[Threaded comment]
Your version of Excel allows you to read this threaded comment; however, any edits to it will get removed if the file is opened in a newer version of Excel. Learn more: https://go.microsoft.com/fwlink/?linkid=870924
Comment:
    TRPA rounds the ITE rate to 10.0 per single-family unit for ease of calculation and consistency with application materials</t>
      </text>
    </comment>
    <comment ref="G2" authorId="1" shapeId="0" xr:uid="{3404CC39-1799-484C-AACE-EBE99B9FD63F}">
      <text>
        <t>[Threaded comment]
Your version of Excel allows you to read this threaded comment; however, any edits to it will get removed if the file is opened in a newer version of Excel. Learn more: https://go.microsoft.com/fwlink/?linkid=870924
Comment:
    LA used ITE 210 for SFR</t>
      </text>
    </comment>
    <comment ref="G4" authorId="2" shapeId="0" xr:uid="{D9F6C10A-6CFA-4E3F-9548-22F7FF746B90}">
      <text>
        <t>[Threaded comment]
Your version of Excel allows you to read this threaded comment; however, any edits to it will get removed if the file is opened in a newer version of Excel. Learn more: https://go.microsoft.com/fwlink/?linkid=870924
Comment:
    ITE 8th Edition</t>
      </text>
    </comment>
    <comment ref="G66" authorId="3" shapeId="0" xr:uid="{8A6E5998-574E-4630-9AEB-26F4B2ECC0C6}">
      <text>
        <t>[Threaded comment]
Your version of Excel allows you to read this threaded comment; however, any edits to it will get removed if the file is opened in a newer version of Excel. Learn more: https://go.microsoft.com/fwlink/?linkid=870924
Comment:
    a trip rate for a given use is either not available in the ITE Manual or the rate provided in the ITE Manual is based on a small sample size which may not be representative of conditions at Lake Tahoe</t>
      </text>
    </comment>
    <comment ref="G67" authorId="4" shapeId="0" xr:uid="{DFD419E5-1E5E-4B3C-9FBA-1BDBF91BA189}">
      <text>
        <t>[Threaded comment]
Your version of Excel allows you to read this threaded comment; however, any edits to it will get removed if the file is opened in a newer version of Excel. Learn more: https://go.microsoft.com/fwlink/?linkid=870924
Comment:
    a trip rate for a given use is either not available in the ITE Manual or the rate provided in the ITE Manual is based on a small sample size which may not be representative of conditions at Lake Tahoe</t>
      </text>
    </comment>
    <comment ref="G78" authorId="5" shapeId="0" xr:uid="{0F8A7761-F447-4D03-8C18-8D6EE538AA11}">
      <text>
        <t>[Threaded comment]
Your version of Excel allows you to read this threaded comment; however, any edits to it will get removed if the file is opened in a newer version of Excel. Learn more: https://go.microsoft.com/fwlink/?linkid=870924
Comment:
    a trip rate for a given use is either not available in the ITE Manual or the rate provided in the ITE Manual is based on a small sample size which may not be representative of conditions at Lake Tahoe</t>
      </text>
    </comment>
    <comment ref="G86" authorId="6" shapeId="0" xr:uid="{AE28B0B2-B8AF-45B1-A17B-6DC3A9F48570}">
      <text>
        <t>[Threaded comment]
Your version of Excel allows you to read this threaded comment; however, any edits to it will get removed if the file is opened in a newer version of Excel. Learn more: https://go.microsoft.com/fwlink/?linkid=870924
Comment:
    a trip rate for a given use is either not available in the ITE Manual or the rate provided in the ITE Manual is based on a small sample size which may not be representative of conditions at Lake Tahoe</t>
      </text>
    </comment>
    <comment ref="G92" authorId="7" shapeId="0" xr:uid="{DB26B49F-AB84-4347-AFD9-CD0A5D49C17D}">
      <text>
        <t>[Threaded comment]
Your version of Excel allows you to read this threaded comment; however, any edits to it will get removed if the file is opened in a newer version of Excel. Learn more: https://go.microsoft.com/fwlink/?linkid=870924
Comment:
    a trip rate for a given use is either not available in the ITE Manual or the rate provided in the ITE Manual is based on a small sample size which may not be representative of conditions at Lake Tahoe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tc={7D32B327-49E6-4A09-BBB5-C1F9AC9FA15D}</author>
    <author>tc={4332BF61-D7AB-405F-839F-35895E1D86A7}</author>
    <author>tc={BB27EC06-424C-45EC-97A1-A3271084CBBB}</author>
    <author>tc={B456D11F-7BF6-4247-890C-12FC3D993E7D}</author>
    <author>tc={AC308F17-2973-45F3-8BBC-6E6E672AF4AF}</author>
    <author>tc={D9DF441C-7540-42E9-B94C-43D2FAF9B6FA}</author>
  </authors>
  <commentList>
    <comment ref="C3" authorId="0" shapeId="0" xr:uid="{7D32B327-49E6-4A09-BBB5-C1F9AC9FA15D}">
      <text>
        <t>[Threaded comment]
Your version of Excel allows you to read this threaded comment; however, any edits to it will get removed if the file is opened in a newer version of Excel. Learn more: https://go.microsoft.com/fwlink/?linkid=870924
Comment:
    TRPA rounds the ITE rate to 10.0 per single-family unit for ease of calculation and consistency with application materials</t>
      </text>
    </comment>
    <comment ref="D3" authorId="1" shapeId="0" xr:uid="{4332BF61-D7AB-405F-839F-35895E1D86A7}">
      <text>
        <t>[Threaded comment]
Your version of Excel allows you to read this threaded comment; however, any edits to it will get removed if the file is opened in a newer version of Excel. Learn more: https://go.microsoft.com/fwlink/?linkid=870924
Comment:
    LA used ITE 210 for SFR</t>
      </text>
    </comment>
    <comment ref="D28" authorId="2" shapeId="0" xr:uid="{BB27EC06-424C-45EC-97A1-A3271084CBBB}">
      <text>
        <t>[Threaded comment]
Your version of Excel allows you to read this threaded comment; however, any edits to it will get removed if the file is opened in a newer version of Excel. Learn more: https://go.microsoft.com/fwlink/?linkid=870924
Comment:
    a trip rate for a given use is either not available in the ITE Manual or the rate provided in the ITE Manual is based on a small sample size which may not be representative of conditions at Lake Tahoe</t>
      </text>
    </comment>
    <comment ref="D29" authorId="3" shapeId="0" xr:uid="{B456D11F-7BF6-4247-890C-12FC3D993E7D}">
      <text>
        <t>[Threaded comment]
Your version of Excel allows you to read this threaded comment; however, any edits to it will get removed if the file is opened in a newer version of Excel. Learn more: https://go.microsoft.com/fwlink/?linkid=870924
Comment:
    a trip rate for a given use is either not available in the ITE Manual or the rate provided in the ITE Manual is based on a small sample size which may not be representative of conditions at Lake Tahoe</t>
      </text>
    </comment>
    <comment ref="D32" authorId="4" shapeId="0" xr:uid="{AC308F17-2973-45F3-8BBC-6E6E672AF4AF}">
      <text>
        <t>[Threaded comment]
Your version of Excel allows you to read this threaded comment; however, any edits to it will get removed if the file is opened in a newer version of Excel. Learn more: https://go.microsoft.com/fwlink/?linkid=870924
Comment:
    a trip rate for a given use is either not available in the ITE Manual or the rate provided in the ITE Manual is based on a small sample size which may not be representative of conditions at Lake Tahoe</t>
      </text>
    </comment>
    <comment ref="D37" authorId="5" shapeId="0" xr:uid="{D9DF441C-7540-42E9-B94C-43D2FAF9B6FA}">
      <text>
        <t>[Threaded comment]
Your version of Excel allows you to read this threaded comment; however, any edits to it will get removed if the file is opened in a newer version of Excel. Learn more: https://go.microsoft.com/fwlink/?linkid=870924
Comment:
    a trip rate for a given use is either not available in the ITE Manual or the rate provided in the ITE Manual is based on a small sample size which may not be representative of conditions at Lake Tahoe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tc={FAF39F9C-DDEF-4857-A5F9-5AA82851FD28}</author>
    <author>tc={4F475442-ABAE-4B17-8050-454314199C7B}</author>
    <author>tc={DEB82D06-06B4-49E8-BB00-A8A3CF8709A3}</author>
    <author>tc={8E0F53BD-D010-4073-85BC-3247DB239933}</author>
    <author>tc={ED2DD852-B58A-4CBB-9298-F2644CE46D12}</author>
    <author>tc={EF313E14-517A-4AB8-A734-88339550E300}</author>
  </authors>
  <commentList>
    <comment ref="B2" authorId="0" shapeId="0" xr:uid="{FAF39F9C-DDEF-4857-A5F9-5AA82851FD28}">
      <text>
        <t>[Threaded comment]
Your version of Excel allows you to read this threaded comment; however, any edits to it will get removed if the file is opened in a newer version of Excel. Learn more: https://go.microsoft.com/fwlink/?linkid=870924
Comment:
    TRPA rounds the ITE rate to 10.0 per single-family unit for ease of calculation and consistency with application materials</t>
      </text>
    </comment>
    <comment ref="C2" authorId="1" shapeId="0" xr:uid="{4F475442-ABAE-4B17-8050-454314199C7B}">
      <text>
        <t>[Threaded comment]
Your version of Excel allows you to read this threaded comment; however, any edits to it will get removed if the file is opened in a newer version of Excel. Learn more: https://go.microsoft.com/fwlink/?linkid=870924
Comment:
    LA used ITE 210 for SFR</t>
      </text>
    </comment>
    <comment ref="C25" authorId="2" shapeId="0" xr:uid="{DEB82D06-06B4-49E8-BB00-A8A3CF8709A3}">
      <text>
        <t>[Threaded comment]
Your version of Excel allows you to read this threaded comment; however, any edits to it will get removed if the file is opened in a newer version of Excel. Learn more: https://go.microsoft.com/fwlink/?linkid=870924
Comment:
    a trip rate for a given use is either not available in the ITE Manual or the rate provided in the ITE Manual is based on a small sample size which may not be representative of conditions at Lake Tahoe</t>
      </text>
    </comment>
    <comment ref="C26" authorId="3" shapeId="0" xr:uid="{8E0F53BD-D010-4073-85BC-3247DB239933}">
      <text>
        <t>[Threaded comment]
Your version of Excel allows you to read this threaded comment; however, any edits to it will get removed if the file is opened in a newer version of Excel. Learn more: https://go.microsoft.com/fwlink/?linkid=870924
Comment:
    a trip rate for a given use is either not available in the ITE Manual or the rate provided in the ITE Manual is based on a small sample size which may not be representative of conditions at Lake Tahoe</t>
      </text>
    </comment>
    <comment ref="C28" authorId="4" shapeId="0" xr:uid="{ED2DD852-B58A-4CBB-9298-F2644CE46D12}">
      <text>
        <t>[Threaded comment]
Your version of Excel allows you to read this threaded comment; however, any edits to it will get removed if the file is opened in a newer version of Excel. Learn more: https://go.microsoft.com/fwlink/?linkid=870924
Comment:
    a trip rate for a given use is either not available in the ITE Manual or the rate provided in the ITE Manual is based on a small sample size which may not be representative of conditions at Lake Tahoe</t>
      </text>
    </comment>
    <comment ref="C33" authorId="5" shapeId="0" xr:uid="{EF313E14-517A-4AB8-A734-88339550E300}">
      <text>
        <t>[Threaded comment]
Your version of Excel allows you to read this threaded comment; however, any edits to it will get removed if the file is opened in a newer version of Excel. Learn more: https://go.microsoft.com/fwlink/?linkid=870924
Comment:
    a trip rate for a given use is either not available in the ITE Manual or the rate provided in the ITE Manual is based on a small sample size which may not be representative of conditions at Lake Tahoe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tc={14F59925-1113-4C8C-9987-3B8D8A1EEF4A}</author>
    <author>tc={3EE9876B-7C99-4242-BC67-78F24C43B009}</author>
    <author>tc={E9C716FD-C38E-47CB-A5ED-A16DE7E04D41}</author>
    <author>tc={DF371570-C8AE-4945-9DDC-790697532331}</author>
    <author>tc={1191CD02-D42C-47AD-8000-59A4B2A302C0}</author>
    <author>tc={D3D02EC3-821B-4845-8269-104134B5FCA6}</author>
  </authors>
  <commentList>
    <comment ref="C3" authorId="0" shapeId="0" xr:uid="{14F59925-1113-4C8C-9987-3B8D8A1EEF4A}">
      <text>
        <t>[Threaded comment]
Your version of Excel allows you to read this threaded comment; however, any edits to it will get removed if the file is opened in a newer version of Excel. Learn more: https://go.microsoft.com/fwlink/?linkid=870924
Comment:
    TRPA rounds the ITE rate to 10.0 per single-family unit for ease of calculation and consistency with application materials</t>
      </text>
    </comment>
    <comment ref="D3" authorId="1" shapeId="0" xr:uid="{3EE9876B-7C99-4242-BC67-78F24C43B009}">
      <text>
        <t>[Threaded comment]
Your version of Excel allows you to read this threaded comment; however, any edits to it will get removed if the file is opened in a newer version of Excel. Learn more: https://go.microsoft.com/fwlink/?linkid=870924
Comment:
    LA used ITE 210 for SFR</t>
      </text>
    </comment>
    <comment ref="D27" authorId="2" shapeId="0" xr:uid="{E9C716FD-C38E-47CB-A5ED-A16DE7E04D41}">
      <text>
        <t>[Threaded comment]
Your version of Excel allows you to read this threaded comment; however, any edits to it will get removed if the file is opened in a newer version of Excel. Learn more: https://go.microsoft.com/fwlink/?linkid=870924
Comment:
    a trip rate for a given use is either not available in the ITE Manual or the rate provided in the ITE Manual is based on a small sample size which may not be representative of conditions at Lake Tahoe</t>
      </text>
    </comment>
    <comment ref="D28" authorId="3" shapeId="0" xr:uid="{DF371570-C8AE-4945-9DDC-790697532331}">
      <text>
        <t>[Threaded comment]
Your version of Excel allows you to read this threaded comment; however, any edits to it will get removed if the file is opened in a newer version of Excel. Learn more: https://go.microsoft.com/fwlink/?linkid=870924
Comment:
    a trip rate for a given use is either not available in the ITE Manual or the rate provided in the ITE Manual is based on a small sample size which may not be representative of conditions at Lake Tahoe</t>
      </text>
    </comment>
    <comment ref="D31" authorId="4" shapeId="0" xr:uid="{1191CD02-D42C-47AD-8000-59A4B2A302C0}">
      <text>
        <t>[Threaded comment]
Your version of Excel allows you to read this threaded comment; however, any edits to it will get removed if the file is opened in a newer version of Excel. Learn more: https://go.microsoft.com/fwlink/?linkid=870924
Comment:
    a trip rate for a given use is either not available in the ITE Manual or the rate provided in the ITE Manual is based on a small sample size which may not be representative of conditions at Lake Tahoe</t>
      </text>
    </comment>
    <comment ref="D36" authorId="5" shapeId="0" xr:uid="{D3D02EC3-821B-4845-8269-104134B5FCA6}">
      <text>
        <t>[Threaded comment]
Your version of Excel allows you to read this threaded comment; however, any edits to it will get removed if the file is opened in a newer version of Excel. Learn more: https://go.microsoft.com/fwlink/?linkid=870924
Comment:
    a trip rate for a given use is either not available in the ITE Manual or the rate provided in the ITE Manual is based on a small sample size which may not be representative of conditions at Lake Tahoe</t>
      </text>
    </comment>
  </commentList>
</comments>
</file>

<file path=xl/sharedStrings.xml><?xml version="1.0" encoding="utf-8"?>
<sst xmlns="http://schemas.openxmlformats.org/spreadsheetml/2006/main" count="1894" uniqueCount="378">
  <si>
    <t>LA Types</t>
  </si>
  <si>
    <t>Single family residential</t>
  </si>
  <si>
    <t>Multi-family residential</t>
  </si>
  <si>
    <t>Townhouse</t>
  </si>
  <si>
    <t>Affordable housing</t>
  </si>
  <si>
    <t>Family</t>
  </si>
  <si>
    <t>Senior</t>
  </si>
  <si>
    <t>Special Needs</t>
  </si>
  <si>
    <t>Permanent Supportive</t>
  </si>
  <si>
    <t>Hotel</t>
  </si>
  <si>
    <t>Motel</t>
  </si>
  <si>
    <t>General retail</t>
  </si>
  <si>
    <t>Furniture store</t>
  </si>
  <si>
    <t>Pharmacy/drugstore</t>
  </si>
  <si>
    <t>Supermarket</t>
  </si>
  <si>
    <t>Bank</t>
  </si>
  <si>
    <t>Health club</t>
  </si>
  <si>
    <t>High-turnover sit-down restaurant</t>
  </si>
  <si>
    <t>Fast-food restaurant</t>
  </si>
  <si>
    <t>Quality restaurant</t>
  </si>
  <si>
    <t>Auto repair</t>
  </si>
  <si>
    <t>Home improvement superstore</t>
  </si>
  <si>
    <t>Free-standing discount store</t>
  </si>
  <si>
    <t>Movie theater</t>
  </si>
  <si>
    <t>General office</t>
  </si>
  <si>
    <t>Medical office</t>
  </si>
  <si>
    <t>Light industrial</t>
  </si>
  <si>
    <t>Manufacturing</t>
  </si>
  <si>
    <t>Warehouse</t>
  </si>
  <si>
    <t>University</t>
  </si>
  <si>
    <t>High school</t>
  </si>
  <si>
    <t>Middle school</t>
  </si>
  <si>
    <t>Elementary school</t>
  </si>
  <si>
    <t>Private school (K-12)</t>
  </si>
  <si>
    <t>4 zones</t>
  </si>
  <si>
    <t>Suburban (zone 1)</t>
  </si>
  <si>
    <t>Suburban Center (zone 2)</t>
  </si>
  <si>
    <t>Compact Infill (Zone 3)</t>
  </si>
  <si>
    <t>Urban (Zone 4)</t>
  </si>
  <si>
    <t>ITE</t>
  </si>
  <si>
    <t>NA</t>
  </si>
  <si>
    <t>Unit</t>
  </si>
  <si>
    <t>DU</t>
  </si>
  <si>
    <t>Rooms</t>
  </si>
  <si>
    <t>KSF</t>
  </si>
  <si>
    <t>Seats</t>
  </si>
  <si>
    <t>Students</t>
  </si>
  <si>
    <t>TRPA</t>
  </si>
  <si>
    <t>Commercial Airport (ITE 021</t>
  </si>
  <si>
    <t>General Aviation Airport (ITE 022</t>
  </si>
  <si>
    <t>Intermodal Truck Terminal (ITE 030</t>
  </si>
  <si>
    <t>Park-N-Ride with Bus or Light Rail (ITE 090</t>
  </si>
  <si>
    <t>General Light Industrial (ITE 110</t>
  </si>
  <si>
    <t>General Heavy Industrial (ITE 120, 8th Edition</t>
  </si>
  <si>
    <t>Industrial Park (ITE 130</t>
  </si>
  <si>
    <t>Manufacturing (ITE 140</t>
  </si>
  <si>
    <t>Warehousing (ITE 150</t>
  </si>
  <si>
    <t>Single-Family Detached</t>
  </si>
  <si>
    <t>Multi-Family (low-rise, one or two levels)</t>
  </si>
  <si>
    <t>Multi-Family (mid-rise, 3 - 10 levels)</t>
  </si>
  <si>
    <t>Mid-Rise Residential with First Floor Commercial</t>
  </si>
  <si>
    <t>Timeshare</t>
  </si>
  <si>
    <t>Residential Condominium</t>
  </si>
  <si>
    <t>Mobile Home</t>
  </si>
  <si>
    <t>Senior Adult Housing – Attached</t>
  </si>
  <si>
    <t>Congregate Care Facility (Residential Care)</t>
  </si>
  <si>
    <t>Bed and Breakfast</t>
  </si>
  <si>
    <t>(2004 TRPA Trip Table, 9.81 / unit; Not found in ITE 7th Manual or later</t>
  </si>
  <si>
    <t>All Suites Hotel</t>
  </si>
  <si>
    <t>Business Hotel</t>
  </si>
  <si>
    <t>Resort Hotel</t>
  </si>
  <si>
    <t>Gaming (Non-Restricted)</t>
  </si>
  <si>
    <t>Off Road Vehicle Course</t>
  </si>
  <si>
    <t>Riding and Hiking Facilities</t>
  </si>
  <si>
    <t>Snow Machine Facilities</t>
  </si>
  <si>
    <t>Undeveloped Campgrounds</t>
  </si>
  <si>
    <t>Visitor Information Centers</t>
  </si>
  <si>
    <t>""</t>
  </si>
  <si>
    <t>Public Park</t>
  </si>
  <si>
    <t>Developed Campground/RV Park</t>
  </si>
  <si>
    <t>Marina</t>
  </si>
  <si>
    <t>Golf Course</t>
  </si>
  <si>
    <t>Bowling Alley</t>
  </si>
  <si>
    <t>Movie Theater (traditional)</t>
  </si>
  <si>
    <t>Movie Theater (Multiplex</t>
  </si>
  <si>
    <t>Ice Skating Rink</t>
  </si>
  <si>
    <t>Arena</t>
  </si>
  <si>
    <t>Tennis Courts</t>
  </si>
  <si>
    <t>Health and Fitness Club</t>
  </si>
  <si>
    <t>Athletic Club</t>
  </si>
  <si>
    <t>Recreational Community Center</t>
  </si>
  <si>
    <t>Elementary School</t>
  </si>
  <si>
    <t>Middle School/Junior High School</t>
  </si>
  <si>
    <t>High School</t>
  </si>
  <si>
    <t>Private School (K-8</t>
  </si>
  <si>
    <t>Private School (K-12</t>
  </si>
  <si>
    <t>Charter Elementary School</t>
  </si>
  <si>
    <t>School District Office</t>
  </si>
  <si>
    <t>Junior/Community College</t>
  </si>
  <si>
    <t>University/College</t>
  </si>
  <si>
    <t>Church</t>
  </si>
  <si>
    <t>Synagogue</t>
  </si>
  <si>
    <t>Mosque</t>
  </si>
  <si>
    <t>Daycare Center</t>
  </si>
  <si>
    <t>Cemetery</t>
  </si>
  <si>
    <t>Library</t>
  </si>
  <si>
    <t>Hospital</t>
  </si>
  <si>
    <t>Nursing Home</t>
  </si>
  <si>
    <t>Clinic</t>
  </si>
  <si>
    <t>Animal Hospital/Veterinary Clinic</t>
  </si>
  <si>
    <t>General Office Building (GFA of more than 5,000 sf</t>
  </si>
  <si>
    <t>Small Office Building (GFA of 5,000 sf or less</t>
  </si>
  <si>
    <t>Corporate Headquarters</t>
  </si>
  <si>
    <t>Single Tenant Office Building</t>
  </si>
  <si>
    <t>Medical –Dental Office Building</t>
  </si>
  <si>
    <t>Government Office Building</t>
  </si>
  <si>
    <t>State Motor Vehicle Dept.</t>
  </si>
  <si>
    <t>U.S. Post Office</t>
  </si>
  <si>
    <t>Government Office Complex</t>
  </si>
  <si>
    <t>Research and Development Center</t>
  </si>
  <si>
    <t>Business Park</t>
  </si>
  <si>
    <t>Construction Equipment Rental Store</t>
  </si>
  <si>
    <t>Outdoor Retail Sales</t>
  </si>
  <si>
    <t>Laundry and Dry Cleaningᶧ</t>
  </si>
  <si>
    <t>local serving retail</t>
  </si>
  <si>
    <t>Building Materials/Lumber</t>
  </si>
  <si>
    <t>Free-Standing Discount Superstore (includes grocery</t>
  </si>
  <si>
    <t>Free-Standing Discount Store</t>
  </si>
  <si>
    <t>Variety Store/Dollar Store</t>
  </si>
  <si>
    <t>Hardware/Paint Store</t>
  </si>
  <si>
    <t>Nursery (Garden Center</t>
  </si>
  <si>
    <t>Nursery (Wholesale</t>
  </si>
  <si>
    <t>Shopping Center</t>
  </si>
  <si>
    <t>Factory Outlet Center</t>
  </si>
  <si>
    <t>Automobile Sales (New</t>
  </si>
  <si>
    <t>Automobile Sales (Used</t>
  </si>
  <si>
    <t>Automobile Parts Sales (no on-site service</t>
  </si>
  <si>
    <t>Auto Parts and Service Center</t>
  </si>
  <si>
    <t>Tire Store (no large storage or warehouse</t>
  </si>
  <si>
    <t>Tire Superstore (with storage area</t>
  </si>
  <si>
    <t>Discount Supermarket</t>
  </si>
  <si>
    <t>Convenience Market</t>
  </si>
  <si>
    <t>Gas/Service Station</t>
  </si>
  <si>
    <t>Gas/Service Station with Convenience Market</t>
  </si>
  <si>
    <t>Self-Serve Carwash</t>
  </si>
  <si>
    <t>Apparel Store</t>
  </si>
  <si>
    <t>Pharmacy/Drugstore</t>
  </si>
  <si>
    <t>Marijuana Dispensary</t>
  </si>
  <si>
    <t>Furniture Store</t>
  </si>
  <si>
    <t>Walk-In Bank</t>
  </si>
  <si>
    <t>Drinking Place</t>
  </si>
  <si>
    <t>Food Cart Pod</t>
  </si>
  <si>
    <t>Fast Casual Restaurant</t>
  </si>
  <si>
    <t>Quality Restaurant (&gt;1 hr. turnover</t>
  </si>
  <si>
    <t>High Turnover Sit-Down Restaurant (&lt;1 hr. turnover</t>
  </si>
  <si>
    <t>Fast Food Restaurant</t>
  </si>
  <si>
    <t>Coffee/Donut Shop</t>
  </si>
  <si>
    <t>LA Code</t>
  </si>
  <si>
    <t>TRPA Code</t>
  </si>
  <si>
    <t>LA1</t>
  </si>
  <si>
    <t>LA2</t>
  </si>
  <si>
    <t>LA3</t>
  </si>
  <si>
    <t>LA4</t>
  </si>
  <si>
    <t>LA5</t>
  </si>
  <si>
    <t>LA6</t>
  </si>
  <si>
    <t>LA7</t>
  </si>
  <si>
    <t>LA8</t>
  </si>
  <si>
    <t>LA9</t>
  </si>
  <si>
    <t>LA10</t>
  </si>
  <si>
    <t>LA11</t>
  </si>
  <si>
    <t>LA12</t>
  </si>
  <si>
    <t>LA13</t>
  </si>
  <si>
    <t>LA14</t>
  </si>
  <si>
    <t>LA15</t>
  </si>
  <si>
    <t>LA16</t>
  </si>
  <si>
    <t>LA17</t>
  </si>
  <si>
    <t>LA18</t>
  </si>
  <si>
    <t>LA19</t>
  </si>
  <si>
    <t>LA20</t>
  </si>
  <si>
    <t>LA21</t>
  </si>
  <si>
    <t>LA22</t>
  </si>
  <si>
    <t>LA23</t>
  </si>
  <si>
    <t>LA24</t>
  </si>
  <si>
    <t>LA25</t>
  </si>
  <si>
    <t>LA26</t>
  </si>
  <si>
    <t>LA27</t>
  </si>
  <si>
    <t>LA28</t>
  </si>
  <si>
    <t>LA29</t>
  </si>
  <si>
    <t>LA30</t>
  </si>
  <si>
    <t>LA31</t>
  </si>
  <si>
    <t>LA32</t>
  </si>
  <si>
    <t>LA33</t>
  </si>
  <si>
    <t>TRPA1</t>
  </si>
  <si>
    <t>TRPA2</t>
  </si>
  <si>
    <t>TRPA3</t>
  </si>
  <si>
    <t>TRPA4</t>
  </si>
  <si>
    <t>TRPA5</t>
  </si>
  <si>
    <t>TRPA6</t>
  </si>
  <si>
    <t>TRPA7</t>
  </si>
  <si>
    <t>TRPA8</t>
  </si>
  <si>
    <t>TRPA9</t>
  </si>
  <si>
    <t>TRPA10</t>
  </si>
  <si>
    <t>TRPA11</t>
  </si>
  <si>
    <t>TRPA12</t>
  </si>
  <si>
    <t>TRPA13</t>
  </si>
  <si>
    <t>TRPA14</t>
  </si>
  <si>
    <t>TRPA15</t>
  </si>
  <si>
    <t>TRPA16</t>
  </si>
  <si>
    <t>TRPA17</t>
  </si>
  <si>
    <t>TRPA18</t>
  </si>
  <si>
    <t>TRPA19</t>
  </si>
  <si>
    <t>TRPA20</t>
  </si>
  <si>
    <t>TRPA21</t>
  </si>
  <si>
    <t>TRPA22</t>
  </si>
  <si>
    <t>TRPA23</t>
  </si>
  <si>
    <t>TRPA24</t>
  </si>
  <si>
    <t>TRPA25</t>
  </si>
  <si>
    <t>TRPA26</t>
  </si>
  <si>
    <t>TRPA27</t>
  </si>
  <si>
    <t>TRPA28</t>
  </si>
  <si>
    <t>TRPA29</t>
  </si>
  <si>
    <t>TRPA30</t>
  </si>
  <si>
    <t>TRPA31</t>
  </si>
  <si>
    <t>TRPA32</t>
  </si>
  <si>
    <t>TRPA33</t>
  </si>
  <si>
    <t>TRPA34</t>
  </si>
  <si>
    <t>TRPA35</t>
  </si>
  <si>
    <t>TRPA36</t>
  </si>
  <si>
    <t>TRPA37</t>
  </si>
  <si>
    <t>TRPA38</t>
  </si>
  <si>
    <t>TRPA39</t>
  </si>
  <si>
    <t>TRPA40</t>
  </si>
  <si>
    <t>TRPA41</t>
  </si>
  <si>
    <t>TRPA42</t>
  </si>
  <si>
    <t>TRPA43</t>
  </si>
  <si>
    <t>TRPA44</t>
  </si>
  <si>
    <t>TRPA45</t>
  </si>
  <si>
    <t>TRPA46</t>
  </si>
  <si>
    <t>TRPA47</t>
  </si>
  <si>
    <t>TRPA48</t>
  </si>
  <si>
    <t>TRPA49</t>
  </si>
  <si>
    <t>TRPA50</t>
  </si>
  <si>
    <t>TRPA51</t>
  </si>
  <si>
    <t>TRPA52</t>
  </si>
  <si>
    <t>TRPA53</t>
  </si>
  <si>
    <t>TRPA54</t>
  </si>
  <si>
    <t>TRPA55</t>
  </si>
  <si>
    <t>TRPA56</t>
  </si>
  <si>
    <t>TRPA57</t>
  </si>
  <si>
    <t>TRPA58</t>
  </si>
  <si>
    <t>TRPA59</t>
  </si>
  <si>
    <t>TRPA60</t>
  </si>
  <si>
    <t>TRPA61</t>
  </si>
  <si>
    <t>TRPA62</t>
  </si>
  <si>
    <t>TRPA63</t>
  </si>
  <si>
    <t>TRPA64</t>
  </si>
  <si>
    <t>TRPA65</t>
  </si>
  <si>
    <t>TRPA66</t>
  </si>
  <si>
    <t>TRPA67</t>
  </si>
  <si>
    <t>TRPA68</t>
  </si>
  <si>
    <t>TRPA69</t>
  </si>
  <si>
    <t>TRPA70</t>
  </si>
  <si>
    <t>TRPA71</t>
  </si>
  <si>
    <t>TRPA72</t>
  </si>
  <si>
    <t>TRPA73</t>
  </si>
  <si>
    <t>TRPA74</t>
  </si>
  <si>
    <t>TRPA75</t>
  </si>
  <si>
    <t>TRPA76</t>
  </si>
  <si>
    <t>TRPA77</t>
  </si>
  <si>
    <t>TRPA78</t>
  </si>
  <si>
    <t>TRPA79</t>
  </si>
  <si>
    <t>TRPA80</t>
  </si>
  <si>
    <t>TRPA81</t>
  </si>
  <si>
    <t>TRPA82</t>
  </si>
  <si>
    <t>TRPA83</t>
  </si>
  <si>
    <t>TRPA84</t>
  </si>
  <si>
    <t>TRPA85</t>
  </si>
  <si>
    <t>TRPA86</t>
  </si>
  <si>
    <t>TRPA87</t>
  </si>
  <si>
    <t>TRPA88</t>
  </si>
  <si>
    <t>TRPA89</t>
  </si>
  <si>
    <t>TRPA90</t>
  </si>
  <si>
    <t>TRPA91</t>
  </si>
  <si>
    <t>TRPA92</t>
  </si>
  <si>
    <t>TRPA93</t>
  </si>
  <si>
    <t>TRPA94</t>
  </si>
  <si>
    <t>TRPA95</t>
  </si>
  <si>
    <t>TRPA96</t>
  </si>
  <si>
    <t>TRPA97</t>
  </si>
  <si>
    <t>TRPA98</t>
  </si>
  <si>
    <t>TRPA99</t>
  </si>
  <si>
    <t>TRPA100</t>
  </si>
  <si>
    <t>TRPA101</t>
  </si>
  <si>
    <t>TRPA102</t>
  </si>
  <si>
    <t>TRPA103</t>
  </si>
  <si>
    <t>TRPA104</t>
  </si>
  <si>
    <t>TRPA105</t>
  </si>
  <si>
    <t>TRPA106</t>
  </si>
  <si>
    <t>TRPA107</t>
  </si>
  <si>
    <t>TRPA108</t>
  </si>
  <si>
    <t>TRPA109</t>
  </si>
  <si>
    <t>TRPA110</t>
  </si>
  <si>
    <t>employee</t>
  </si>
  <si>
    <t>Parking space</t>
  </si>
  <si>
    <t>GFA</t>
  </si>
  <si>
    <t>occupied DU</t>
  </si>
  <si>
    <t>acre</t>
  </si>
  <si>
    <t>hole</t>
  </si>
  <si>
    <t>court</t>
  </si>
  <si>
    <t>student</t>
  </si>
  <si>
    <t>service bay</t>
  </si>
  <si>
    <t>LA Crosswalk</t>
  </si>
  <si>
    <t xml:space="preserve">RESIDENTIAL   </t>
  </si>
  <si>
    <t>TOURIST ACCOMMODATION</t>
  </si>
  <si>
    <t>COMMERCIAL</t>
  </si>
  <si>
    <t>RECREATION</t>
  </si>
  <si>
    <t>PUBLIC SERVICES</t>
  </si>
  <si>
    <t>Keep</t>
  </si>
  <si>
    <t>Merge</t>
  </si>
  <si>
    <t>TPRA86</t>
  </si>
  <si>
    <t>TBD</t>
  </si>
  <si>
    <t>Combine</t>
  </si>
  <si>
    <t>"Active Outdoor Recreation Facilities"</t>
  </si>
  <si>
    <t>TPRA36</t>
  </si>
  <si>
    <t>Delete</t>
  </si>
  <si>
    <t>Active Outdoor Recreation Facilities</t>
  </si>
  <si>
    <t>TRPA111</t>
  </si>
  <si>
    <t>Tourist Accommodation</t>
  </si>
  <si>
    <t>Commercial</t>
  </si>
  <si>
    <t>Recreation</t>
  </si>
  <si>
    <t>Public Services</t>
  </si>
  <si>
    <t>Residential</t>
  </si>
  <si>
    <t>Gross Leasable Area only</t>
  </si>
  <si>
    <t>Acres</t>
  </si>
  <si>
    <t>No Data</t>
  </si>
  <si>
    <t>Sites</t>
  </si>
  <si>
    <t>AM Peak</t>
  </si>
  <si>
    <t>PM Peak</t>
  </si>
  <si>
    <t>Berths</t>
  </si>
  <si>
    <t>Flag</t>
  </si>
  <si>
    <t>Insufficient Data</t>
  </si>
  <si>
    <t>FLAG</t>
  </si>
  <si>
    <t>Uses Gross Leasable Area as opposed to Gross Floor Area</t>
  </si>
  <si>
    <t>Adjusted to account for higher Sunday Trips</t>
  </si>
  <si>
    <t>Units</t>
  </si>
  <si>
    <t>Limited Sample Size</t>
  </si>
  <si>
    <t>Variable</t>
  </si>
  <si>
    <t>Notes</t>
  </si>
  <si>
    <t>Rate</t>
  </si>
  <si>
    <t>ITE Code</t>
  </si>
  <si>
    <t>Use</t>
  </si>
  <si>
    <t>Private School (K-12)</t>
  </si>
  <si>
    <t>Quality Restaurant (&gt;1 hr. turnover)</t>
  </si>
  <si>
    <t>High Turnover Sit-Down Restaurant (&lt;1 hr. turnover)</t>
  </si>
  <si>
    <t>General Office Building (GFA of more than 5,000 sf)</t>
  </si>
  <si>
    <t>Message</t>
  </si>
  <si>
    <t xml:space="preserve">There is no data for trip generation for this use.  A technical analysis will need to be provided to assess trip generation.  Please contact TRPA's Transportation Division for more information.  </t>
  </si>
  <si>
    <t xml:space="preserve">There is insufficient data to determine trip generation for this use.  Estimated trip generation is derived from peak hour trip generation figures.  Since trip generation figures may not be accurate, you may wish to provide a project-specific traffic analysis to assess trip generation.  </t>
  </si>
  <si>
    <t>Sample Size is Limited</t>
  </si>
  <si>
    <t xml:space="preserve">The sample size is limited for trip generation figures for this use.  Since trip generation figures may not be accurate, you may wish to provide a project-specific traffic analysis to assess trip generation.  </t>
  </si>
  <si>
    <t>Dwelling Units</t>
  </si>
  <si>
    <t>Name</t>
  </si>
  <si>
    <t>1,000 Gross Square Feet</t>
  </si>
  <si>
    <t>Campsites</t>
  </si>
  <si>
    <t>Marina Berths</t>
  </si>
  <si>
    <t>Used For</t>
  </si>
  <si>
    <t>Golf Courses, Public Parks</t>
  </si>
  <si>
    <t>Marinas</t>
  </si>
  <si>
    <t>Tourist accommodation</t>
  </si>
  <si>
    <t>RV/Developed Campgrounds</t>
  </si>
  <si>
    <t>Most commercial, recreation, institutional uses</t>
  </si>
  <si>
    <t>Residential uses</t>
  </si>
  <si>
    <t>code</t>
  </si>
  <si>
    <t>use</t>
  </si>
  <si>
    <t>Holes</t>
  </si>
  <si>
    <t>Bowling Lanes</t>
  </si>
  <si>
    <t>Movie Screens</t>
  </si>
  <si>
    <t>Drive-In Bank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</si>
</sst>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8"/>
      <name val="Calibri"/>
      <family val="2"/>
      <scheme val="minor"/>
    </font>
    <font>
      <b/>
      <sz val="14"/>
      <color theme="1"/>
      <name val="Calibri"/>
      <family val="2"/>
      <scheme val="minor"/>
    </font>
    <font>
      <b/>
      <sz val="22"/>
      <color theme="1"/>
      <name val="Calibri"/>
      <family val="2"/>
      <scheme val="minor"/>
    </font>
  </fonts>
  <fills count="8">
    <fill>
      <patternFill patternType="none"/>
    </fill>
    <fill>
      <patternFill patternType="gray125"/>
    </fill>
    <fill>
      <patternFill patternType="solid">
        <fgColor theme="7" tint="0.7999816888943144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FFCDCD"/>
        <bgColor indexed="64"/>
      </patternFill>
    </fill>
    <fill>
      <patternFill patternType="solid">
        <fgColor rgb="FFFFFF00"/>
        <bgColor indexed="64"/>
      </patternFill>
    </fill>
    <fill>
      <patternFill patternType="solid">
        <fgColor theme="5" tint="0.79998168889431442"/>
        <bgColor indexed="64"/>
      </patternFill>
    </fill>
  </fills>
  <borders count="1">
    <border>
      <left/>
      <right/>
      <top/>
      <bottom/>
      <diagonal/>
    </border>
  </borders>
  <cellStyleXfs count="1">
    <xf numFmtId="0" fontId="0" fillId="0" borderId="0"/>
  </cellStyleXfs>
  <cellXfs count="19">
    <xf numFmtId="0" fontId="0" fillId="0" borderId="0" xfId="0"/>
    <xf numFmtId="0" fontId="0" fillId="0" borderId="0" xfId="0" applyAlignment="1">
      <alignment horizontal="left" indent="1"/>
    </xf>
    <xf numFmtId="0" fontId="3" fillId="2" borderId="0" xfId="0" applyFont="1" applyFill="1"/>
    <xf numFmtId="0" fontId="0" fillId="2" borderId="0" xfId="0" applyFill="1"/>
    <xf numFmtId="0" fontId="3" fillId="3" borderId="0" xfId="0" applyFont="1" applyFill="1"/>
    <xf numFmtId="0" fontId="0" fillId="3" borderId="0" xfId="0" applyFill="1"/>
    <xf numFmtId="0" fontId="3" fillId="4" borderId="0" xfId="0" applyFont="1" applyFill="1"/>
    <xf numFmtId="0" fontId="0" fillId="4" borderId="0" xfId="0" applyFill="1"/>
    <xf numFmtId="0" fontId="3" fillId="5" borderId="0" xfId="0" applyFont="1" applyFill="1"/>
    <xf numFmtId="0" fontId="0" fillId="5" borderId="0" xfId="0" applyFill="1"/>
    <xf numFmtId="0" fontId="0" fillId="6" borderId="0" xfId="0" applyFill="1"/>
    <xf numFmtId="0" fontId="2" fillId="3" borderId="0" xfId="0" applyFont="1" applyFill="1"/>
    <xf numFmtId="0" fontId="2" fillId="5" borderId="0" xfId="0" applyFont="1" applyFill="1"/>
    <xf numFmtId="0" fontId="2" fillId="4" borderId="0" xfId="0" applyFont="1" applyFill="1"/>
    <xf numFmtId="0" fontId="2" fillId="7" borderId="0" xfId="0" applyFont="1" applyFill="1"/>
    <xf numFmtId="0" fontId="0" fillId="7" borderId="0" xfId="0" applyFill="1"/>
    <xf numFmtId="0" fontId="3" fillId="7" borderId="0" xfId="0" applyFont="1" applyFill="1"/>
    <xf numFmtId="0" fontId="2" fillId="2" borderId="0" xfId="0" applyFont="1" applyFill="1"/>
    <xf numFmtId="0" fontId="0" fillId="0" borderId="0" xfId="0" applyAlignment="1">
      <alignment wrapText="1"/>
    </xf>
  </cellXfs>
  <cellStyles count="1">
    <cellStyle name="Normal" xfId="0" builtinId="0"/>
  </cellStyles>
  <dxfs count="0"/>
  <tableStyles count="0" defaultTableStyle="TableStyleMedium2" defaultPivotStyle="PivotStyleLight16"/>
  <colors>
    <mruColors>
      <color rgb="FFFFCD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Melanie Sloan" id="{546E0875-2CEB-435D-9041-3889A1D8997B}" userId="S::msloan@trpa.org::23f07cf0-b2b9-41fc-9f79-218f3f4a0a18"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1" dT="2021-02-09T19:42:57.71" personId="{546E0875-2CEB-435D-9041-3889A1D8997B}" id="{B7BFBC85-2A1F-427A-AFBA-AA1F2B33754B}">
    <text>From VMT Interim Guidance:
If more than one rate is listed (for instance, rate per 1,000 sf of GFA versus rate per employee), the rate that results in the highest number of trips must be used. The rates shown are in Daily Vehicle Trip Ends (DVTE) per the unit shown.</text>
  </threadedComment>
  <threadedComment ref="G1" dT="2021-02-09T03:51:31.87" personId="{546E0875-2CEB-435D-9041-3889A1D8997B}" id="{5B94E020-053A-4CF0-8AFF-AC3E3DBFC8D8}">
    <text>based on the Institute of Transportation Engineers (ITE) Trip Generation Manual, 10th Edition (2017), provided pursuant to Section 65.2.3.H of the TRPA Code of Ordinances</text>
  </threadedComment>
  <threadedComment ref="G1" dT="2021-02-09T03:52:23.17" personId="{546E0875-2CEB-435D-9041-3889A1D8997B}" id="{C9330B27-2E34-4F9D-A085-73FAD3C543AB}" parentId="{5B94E020-053A-4CF0-8AFF-AC3E3DBFC8D8}">
    <text>where available the trip table uses the trip rates for the “General Urban/Suburban” category</text>
  </threadedComment>
  <threadedComment ref="G7" dT="2021-02-09T03:58:07.21" personId="{546E0875-2CEB-435D-9041-3889A1D8997B}" id="{48E7F71F-6082-4601-9F7E-9B1EE2B05BEB}">
    <text>8th edition</text>
  </threadedComment>
  <threadedComment ref="F11" dT="2021-02-09T03:58:36.57" personId="{546E0875-2CEB-435D-9041-3889A1D8997B}" id="{6A7CC235-1734-4BBB-BB91-B7866C6C377F}">
    <text>TRPA rounds the ITE rate to 10.0 per single-family unit for ease of calculation and consistency with application materials</text>
  </threadedComment>
  <threadedComment ref="G11" dT="2021-02-09T19:55:23.75" personId="{546E0875-2CEB-435D-9041-3889A1D8997B}" id="{A3757B33-6491-48E1-8EB5-004A9C50A14C}">
    <text>LA used ITE 210 for SFR</text>
  </threadedComment>
  <threadedComment ref="G16" dT="2021-02-09T03:59:52.40" personId="{546E0875-2CEB-435D-9041-3889A1D8997B}" id="{4CFEDCCC-A63B-495E-B32E-7C042CD48CC3}">
    <text>ITE 8th Edition</text>
  </threadedComment>
  <threadedComment ref="G26" dT="2021-02-09T04:03:02.54" personId="{546E0875-2CEB-435D-9041-3889A1D8997B}" id="{A11F1E5E-B580-4A44-8926-2C7498016420}">
    <text>a trip rate for a given use is either not available in the ITE Manual or the rate provided in the ITE Manual is based on a small sample size which may not be representative of conditions at Lake Tahoe</text>
  </threadedComment>
  <threadedComment ref="G34" dT="2021-02-09T04:03:13.76" personId="{546E0875-2CEB-435D-9041-3889A1D8997B}" id="{6E58DAFB-88F4-40F4-A988-88BFB42E9CC5}">
    <text>a trip rate for a given use is either not available in the ITE Manual or the rate provided in the ITE Manual is based on a small sample size which may not be representative of conditions at Lake Tahoe</text>
  </threadedComment>
  <threadedComment ref="G40" dT="2021-02-09T04:04:12.35" personId="{546E0875-2CEB-435D-9041-3889A1D8997B}" id="{2FCA7129-2D69-421E-AC6E-5C040B5487F3}">
    <text>a trip rate for a given use is either not available in the ITE Manual or the rate provided in the ITE Manual is based on a small sample size which may not be representative of conditions at Lake Tahoe</text>
  </threadedComment>
  <threadedComment ref="G76" dT="2021-02-09T04:09:19.12" personId="{546E0875-2CEB-435D-9041-3889A1D8997B}" id="{0D00E74D-E6FC-4F02-86DD-685062F3FB79}">
    <text>a trip rate for a given use is either not available in the ITE Manual or the rate provided in the ITE Manual is based on a small sample size which may not be representative of conditions at Lake Tahoe</text>
  </threadedComment>
  <threadedComment ref="G77" dT="2021-02-09T04:11:32.94" personId="{546E0875-2CEB-435D-9041-3889A1D8997B}" id="{6B67BB98-37EF-409A-98A4-1524B0984878}">
    <text>a trip rate for a given use is either not available in the ITE Manual or the rate provided in the ITE Manual is based on a small sample size which may not be representative of conditions at Lake Tahoe</text>
  </threadedComment>
</ThreadedComments>
</file>

<file path=xl/threadedComments/threadedComment2.xml><?xml version="1.0" encoding="utf-8"?>
<ThreadedComments xmlns="http://schemas.microsoft.com/office/spreadsheetml/2018/threadedcomments" xmlns:x="http://schemas.openxmlformats.org/spreadsheetml/2006/main">
  <threadedComment ref="F2" dT="2021-02-09T03:58:36.57" personId="{546E0875-2CEB-435D-9041-3889A1D8997B}" id="{9AF57EFA-3335-4323-B18D-1C2F591AEB94}">
    <text>TRPA rounds the ITE rate to 10.0 per single-family unit for ease of calculation and consistency with application materials</text>
  </threadedComment>
  <threadedComment ref="G2" dT="2021-02-09T19:55:23.75" personId="{546E0875-2CEB-435D-9041-3889A1D8997B}" id="{3404CC39-1799-484C-AACE-EBE99B9FD63F}">
    <text>LA used ITE 210 for SFR</text>
  </threadedComment>
  <threadedComment ref="G4" dT="2021-02-09T03:59:52.40" personId="{546E0875-2CEB-435D-9041-3889A1D8997B}" id="{D9F6C10A-6CFA-4E3F-9548-22F7FF746B90}">
    <text>ITE 8th Edition</text>
  </threadedComment>
  <threadedComment ref="G66" dT="2021-02-09T04:09:19.12" personId="{546E0875-2CEB-435D-9041-3889A1D8997B}" id="{8A6E5998-574E-4630-9AEB-26F4B2ECC0C6}">
    <text>a trip rate for a given use is either not available in the ITE Manual or the rate provided in the ITE Manual is based on a small sample size which may not be representative of conditions at Lake Tahoe</text>
  </threadedComment>
  <threadedComment ref="G67" dT="2021-02-09T04:11:32.94" personId="{546E0875-2CEB-435D-9041-3889A1D8997B}" id="{DFD419E5-1E5E-4B3C-9FBA-1BDBF91BA189}">
    <text>a trip rate for a given use is either not available in the ITE Manual or the rate provided in the ITE Manual is based on a small sample size which may not be representative of conditions at Lake Tahoe</text>
  </threadedComment>
  <threadedComment ref="G78" dT="2021-02-09T04:03:02.54" personId="{546E0875-2CEB-435D-9041-3889A1D8997B}" id="{0F8A7761-F447-4D03-8C18-8D6EE538AA11}">
    <text>a trip rate for a given use is either not available in the ITE Manual or the rate provided in the ITE Manual is based on a small sample size which may not be representative of conditions at Lake Tahoe</text>
  </threadedComment>
  <threadedComment ref="G86" dT="2021-02-09T04:03:13.76" personId="{546E0875-2CEB-435D-9041-3889A1D8997B}" id="{AE28B0B2-B8AF-45B1-A17B-6DC3A9F48570}">
    <text>a trip rate for a given use is either not available in the ITE Manual or the rate provided in the ITE Manual is based on a small sample size which may not be representative of conditions at Lake Tahoe</text>
  </threadedComment>
  <threadedComment ref="G92" dT="2021-02-09T04:04:12.35" personId="{546E0875-2CEB-435D-9041-3889A1D8997B}" id="{DB26B49F-AB84-4347-AFD9-CD0A5D49C17D}">
    <text>a trip rate for a given use is either not available in the ITE Manual or the rate provided in the ITE Manual is based on a small sample size which may not be representative of conditions at Lake Tahoe</text>
  </threadedComment>
</ThreadedComments>
</file>

<file path=xl/threadedComments/threadedComment3.xml><?xml version="1.0" encoding="utf-8"?>
<ThreadedComments xmlns="http://schemas.microsoft.com/office/spreadsheetml/2018/threadedcomments" xmlns:x="http://schemas.openxmlformats.org/spreadsheetml/2006/main">
  <threadedComment ref="C3" dT="2021-02-09T03:58:36.57" personId="{546E0875-2CEB-435D-9041-3889A1D8997B}" id="{7D32B327-49E6-4A09-BBB5-C1F9AC9FA15D}">
    <text>TRPA rounds the ITE rate to 10.0 per single-family unit for ease of calculation and consistency with application materials</text>
  </threadedComment>
  <threadedComment ref="D3" dT="2021-02-09T19:55:23.75" personId="{546E0875-2CEB-435D-9041-3889A1D8997B}" id="{4332BF61-D7AB-405F-839F-35895E1D86A7}">
    <text>LA used ITE 210 for SFR</text>
  </threadedComment>
  <threadedComment ref="D28" dT="2021-02-09T04:09:19.12" personId="{546E0875-2CEB-435D-9041-3889A1D8997B}" id="{BB27EC06-424C-45EC-97A1-A3271084CBBB}">
    <text>a trip rate for a given use is either not available in the ITE Manual or the rate provided in the ITE Manual is based on a small sample size which may not be representative of conditions at Lake Tahoe</text>
  </threadedComment>
  <threadedComment ref="D29" dT="2021-02-09T04:11:32.94" personId="{546E0875-2CEB-435D-9041-3889A1D8997B}" id="{B456D11F-7BF6-4247-890C-12FC3D993E7D}">
    <text>a trip rate for a given use is either not available in the ITE Manual or the rate provided in the ITE Manual is based on a small sample size which may not be representative of conditions at Lake Tahoe</text>
  </threadedComment>
  <threadedComment ref="D32" dT="2021-02-09T04:03:02.54" personId="{546E0875-2CEB-435D-9041-3889A1D8997B}" id="{AC308F17-2973-45F3-8BBC-6E6E672AF4AF}">
    <text>a trip rate for a given use is either not available in the ITE Manual or the rate provided in the ITE Manual is based on a small sample size which may not be representative of conditions at Lake Tahoe</text>
  </threadedComment>
  <threadedComment ref="D37" dT="2021-02-09T04:03:13.76" personId="{546E0875-2CEB-435D-9041-3889A1D8997B}" id="{D9DF441C-7540-42E9-B94C-43D2FAF9B6FA}">
    <text>a trip rate for a given use is either not available in the ITE Manual or the rate provided in the ITE Manual is based on a small sample size which may not be representative of conditions at Lake Tahoe</text>
  </threadedComment>
</ThreadedComments>
</file>

<file path=xl/threadedComments/threadedComment4.xml><?xml version="1.0" encoding="utf-8"?>
<ThreadedComments xmlns="http://schemas.microsoft.com/office/spreadsheetml/2018/threadedcomments" xmlns:x="http://schemas.openxmlformats.org/spreadsheetml/2006/main">
  <threadedComment ref="B2" dT="2021-02-09T03:58:36.57" personId="{546E0875-2CEB-435D-9041-3889A1D8997B}" id="{FAF39F9C-DDEF-4857-A5F9-5AA82851FD28}">
    <text>TRPA rounds the ITE rate to 10.0 per single-family unit for ease of calculation and consistency with application materials</text>
  </threadedComment>
  <threadedComment ref="C2" dT="2021-02-09T19:55:23.75" personId="{546E0875-2CEB-435D-9041-3889A1D8997B}" id="{4F475442-ABAE-4B17-8050-454314199C7B}">
    <text>LA used ITE 210 for SFR</text>
  </threadedComment>
  <threadedComment ref="C25" dT="2021-02-09T04:09:19.12" personId="{546E0875-2CEB-435D-9041-3889A1D8997B}" id="{DEB82D06-06B4-49E8-BB00-A8A3CF8709A3}">
    <text>a trip rate for a given use is either not available in the ITE Manual or the rate provided in the ITE Manual is based on a small sample size which may not be representative of conditions at Lake Tahoe</text>
  </threadedComment>
  <threadedComment ref="C26" dT="2021-02-09T04:11:32.94" personId="{546E0875-2CEB-435D-9041-3889A1D8997B}" id="{8E0F53BD-D010-4073-85BC-3247DB239933}">
    <text>a trip rate for a given use is either not available in the ITE Manual or the rate provided in the ITE Manual is based on a small sample size which may not be representative of conditions at Lake Tahoe</text>
  </threadedComment>
  <threadedComment ref="C28" dT="2021-02-09T04:03:02.54" personId="{546E0875-2CEB-435D-9041-3889A1D8997B}" id="{ED2DD852-B58A-4CBB-9298-F2644CE46D12}">
    <text>a trip rate for a given use is either not available in the ITE Manual or the rate provided in the ITE Manual is based on a small sample size which may not be representative of conditions at Lake Tahoe</text>
  </threadedComment>
  <threadedComment ref="C33" dT="2021-02-09T04:03:13.76" personId="{546E0875-2CEB-435D-9041-3889A1D8997B}" id="{EF313E14-517A-4AB8-A734-88339550E300}">
    <text>a trip rate for a given use is either not available in the ITE Manual or the rate provided in the ITE Manual is based on a small sample size which may not be representative of conditions at Lake Tahoe</text>
  </threadedComment>
</ThreadedComments>
</file>

<file path=xl/threadedComments/threadedComment5.xml><?xml version="1.0" encoding="utf-8"?>
<ThreadedComments xmlns="http://schemas.microsoft.com/office/spreadsheetml/2018/threadedcomments" xmlns:x="http://schemas.openxmlformats.org/spreadsheetml/2006/main">
  <threadedComment ref="C3" dT="2021-02-09T03:58:36.57" personId="{546E0875-2CEB-435D-9041-3889A1D8997B}" id="{14F59925-1113-4C8C-9987-3B8D8A1EEF4A}">
    <text>TRPA rounds the ITE rate to 10.0 per single-family unit for ease of calculation and consistency with application materials</text>
  </threadedComment>
  <threadedComment ref="D3" dT="2021-02-09T19:55:23.75" personId="{546E0875-2CEB-435D-9041-3889A1D8997B}" id="{3EE9876B-7C99-4242-BC67-78F24C43B009}">
    <text>LA used ITE 210 for SFR</text>
  </threadedComment>
  <threadedComment ref="D27" dT="2021-02-09T04:09:19.12" personId="{546E0875-2CEB-435D-9041-3889A1D8997B}" id="{E9C716FD-C38E-47CB-A5ED-A16DE7E04D41}">
    <text>a trip rate for a given use is either not available in the ITE Manual or the rate provided in the ITE Manual is based on a small sample size which may not be representative of conditions at Lake Tahoe</text>
  </threadedComment>
  <threadedComment ref="D28" dT="2021-02-09T04:11:32.94" personId="{546E0875-2CEB-435D-9041-3889A1D8997B}" id="{DF371570-C8AE-4945-9DDC-790697532331}">
    <text>a trip rate for a given use is either not available in the ITE Manual or the rate provided in the ITE Manual is based on a small sample size which may not be representative of conditions at Lake Tahoe</text>
  </threadedComment>
  <threadedComment ref="D31" dT="2021-02-09T04:03:02.54" personId="{546E0875-2CEB-435D-9041-3889A1D8997B}" id="{1191CD02-D42C-47AD-8000-59A4B2A302C0}">
    <text>a trip rate for a given use is either not available in the ITE Manual or the rate provided in the ITE Manual is based on a small sample size which may not be representative of conditions at Lake Tahoe</text>
  </threadedComment>
  <threadedComment ref="D36" dT="2021-02-09T04:03:13.76" personId="{546E0875-2CEB-435D-9041-3889A1D8997B}" id="{D3D02EC3-821B-4845-8269-104134B5FCA6}">
    <text>a trip rate for a given use is either not available in the ITE Manual or the rate provided in the ITE Manual is based on a small sample size which may not be representative of conditions at Lake Tahoe</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2908BE-441B-425E-A4F7-108BAC91D0DC}">
  <dimension ref="A1:J111"/>
  <sheetViews>
    <sheetView topLeftCell="D1" workbookViewId="0">
      <pane ySplit="1" topLeftCell="A18" activePane="bottomLeft" state="frozen"/>
      <selection pane="bottomLeft" activeCell="F92" sqref="F92"/>
    </sheetView>
  </sheetViews>
  <sheetFormatPr defaultRowHeight="15" x14ac:dyDescent="0.25"/>
  <cols>
    <col min="2" max="2" width="32" bestFit="1" customWidth="1"/>
    <col min="6" max="6" width="38.5703125" bestFit="1" customWidth="1"/>
    <col min="7" max="7" width="42.85546875" bestFit="1" customWidth="1"/>
    <col min="8" max="8" width="13.140625" bestFit="1" customWidth="1"/>
  </cols>
  <sheetData>
    <row r="1" spans="1:9" x14ac:dyDescent="0.25">
      <c r="A1" t="s">
        <v>157</v>
      </c>
      <c r="B1" t="s">
        <v>0</v>
      </c>
      <c r="C1" t="s">
        <v>39</v>
      </c>
      <c r="D1" t="s">
        <v>41</v>
      </c>
      <c r="E1" t="s">
        <v>158</v>
      </c>
      <c r="F1" t="s">
        <v>47</v>
      </c>
      <c r="G1" t="s">
        <v>39</v>
      </c>
      <c r="H1" t="s">
        <v>41</v>
      </c>
      <c r="I1" t="s">
        <v>311</v>
      </c>
    </row>
    <row r="2" spans="1:9" x14ac:dyDescent="0.25">
      <c r="A2" t="s">
        <v>159</v>
      </c>
      <c r="B2" t="s">
        <v>1</v>
      </c>
      <c r="C2">
        <v>210</v>
      </c>
      <c r="D2" t="s">
        <v>42</v>
      </c>
      <c r="E2" t="s">
        <v>192</v>
      </c>
      <c r="F2" t="s">
        <v>48</v>
      </c>
      <c r="G2">
        <v>21</v>
      </c>
      <c r="H2" t="s">
        <v>302</v>
      </c>
      <c r="I2" t="s">
        <v>40</v>
      </c>
    </row>
    <row r="3" spans="1:9" x14ac:dyDescent="0.25">
      <c r="A3" t="s">
        <v>160</v>
      </c>
      <c r="B3" t="s">
        <v>2</v>
      </c>
      <c r="C3" t="s">
        <v>40</v>
      </c>
      <c r="D3" t="s">
        <v>42</v>
      </c>
      <c r="E3" t="s">
        <v>193</v>
      </c>
      <c r="F3" t="s">
        <v>49</v>
      </c>
      <c r="G3">
        <v>22</v>
      </c>
      <c r="H3" t="s">
        <v>302</v>
      </c>
      <c r="I3" t="s">
        <v>40</v>
      </c>
    </row>
    <row r="4" spans="1:9" x14ac:dyDescent="0.25">
      <c r="A4" t="s">
        <v>161</v>
      </c>
      <c r="B4" t="s">
        <v>3</v>
      </c>
      <c r="C4">
        <v>230</v>
      </c>
      <c r="D4" t="s">
        <v>42</v>
      </c>
      <c r="E4" t="s">
        <v>194</v>
      </c>
      <c r="F4" t="s">
        <v>50</v>
      </c>
      <c r="G4">
        <v>30</v>
      </c>
      <c r="H4" t="s">
        <v>40</v>
      </c>
      <c r="I4" t="s">
        <v>184</v>
      </c>
    </row>
    <row r="5" spans="1:9" x14ac:dyDescent="0.25">
      <c r="A5" t="s">
        <v>162</v>
      </c>
      <c r="B5" t="s">
        <v>4</v>
      </c>
      <c r="C5" t="s">
        <v>40</v>
      </c>
      <c r="D5" t="s">
        <v>42</v>
      </c>
      <c r="E5" t="s">
        <v>195</v>
      </c>
      <c r="F5" t="s">
        <v>51</v>
      </c>
      <c r="G5">
        <v>90</v>
      </c>
      <c r="H5" t="s">
        <v>303</v>
      </c>
      <c r="I5" t="s">
        <v>40</v>
      </c>
    </row>
    <row r="6" spans="1:9" x14ac:dyDescent="0.25">
      <c r="A6" t="s">
        <v>163</v>
      </c>
      <c r="B6" s="1" t="s">
        <v>5</v>
      </c>
      <c r="C6" t="s">
        <v>40</v>
      </c>
      <c r="D6" t="s">
        <v>42</v>
      </c>
      <c r="E6" t="s">
        <v>196</v>
      </c>
      <c r="F6" t="s">
        <v>52</v>
      </c>
      <c r="G6">
        <v>110</v>
      </c>
      <c r="H6" t="s">
        <v>304</v>
      </c>
      <c r="I6" t="s">
        <v>184</v>
      </c>
    </row>
    <row r="7" spans="1:9" x14ac:dyDescent="0.25">
      <c r="A7" t="s">
        <v>164</v>
      </c>
      <c r="B7" s="1" t="s">
        <v>6</v>
      </c>
      <c r="C7" t="s">
        <v>40</v>
      </c>
      <c r="D7" t="s">
        <v>42</v>
      </c>
      <c r="E7" t="s">
        <v>197</v>
      </c>
      <c r="F7" t="s">
        <v>53</v>
      </c>
      <c r="G7">
        <v>120</v>
      </c>
      <c r="H7" t="s">
        <v>304</v>
      </c>
      <c r="I7" t="s">
        <v>40</v>
      </c>
    </row>
    <row r="8" spans="1:9" x14ac:dyDescent="0.25">
      <c r="A8" t="s">
        <v>165</v>
      </c>
      <c r="B8" s="1" t="s">
        <v>7</v>
      </c>
      <c r="C8" t="s">
        <v>40</v>
      </c>
      <c r="D8" t="s">
        <v>42</v>
      </c>
      <c r="E8" t="s">
        <v>198</v>
      </c>
      <c r="F8" t="s">
        <v>54</v>
      </c>
      <c r="G8">
        <v>130</v>
      </c>
      <c r="H8" t="s">
        <v>304</v>
      </c>
      <c r="I8" t="s">
        <v>184</v>
      </c>
    </row>
    <row r="9" spans="1:9" x14ac:dyDescent="0.25">
      <c r="A9" t="s">
        <v>166</v>
      </c>
      <c r="B9" s="1" t="s">
        <v>8</v>
      </c>
      <c r="C9" t="s">
        <v>40</v>
      </c>
      <c r="D9" t="s">
        <v>42</v>
      </c>
      <c r="E9" t="s">
        <v>199</v>
      </c>
      <c r="F9" t="s">
        <v>55</v>
      </c>
      <c r="G9">
        <v>140</v>
      </c>
      <c r="H9" t="s">
        <v>304</v>
      </c>
      <c r="I9" t="s">
        <v>185</v>
      </c>
    </row>
    <row r="10" spans="1:9" x14ac:dyDescent="0.25">
      <c r="A10" t="s">
        <v>167</v>
      </c>
      <c r="B10" t="s">
        <v>9</v>
      </c>
      <c r="C10">
        <v>310</v>
      </c>
      <c r="D10" t="s">
        <v>43</v>
      </c>
      <c r="E10" t="s">
        <v>200</v>
      </c>
      <c r="F10" t="s">
        <v>56</v>
      </c>
      <c r="G10">
        <v>150</v>
      </c>
      <c r="H10" t="s">
        <v>304</v>
      </c>
      <c r="I10" t="s">
        <v>186</v>
      </c>
    </row>
    <row r="11" spans="1:9" x14ac:dyDescent="0.25">
      <c r="A11" t="s">
        <v>168</v>
      </c>
      <c r="B11" t="s">
        <v>10</v>
      </c>
      <c r="C11">
        <v>320</v>
      </c>
      <c r="D11" t="s">
        <v>43</v>
      </c>
      <c r="E11" t="s">
        <v>201</v>
      </c>
      <c r="F11" t="s">
        <v>57</v>
      </c>
      <c r="H11" t="s">
        <v>42</v>
      </c>
      <c r="I11" t="s">
        <v>159</v>
      </c>
    </row>
    <row r="12" spans="1:9" x14ac:dyDescent="0.25">
      <c r="A12" t="s">
        <v>169</v>
      </c>
      <c r="B12" t="s">
        <v>11</v>
      </c>
      <c r="C12">
        <v>820</v>
      </c>
      <c r="D12" t="s">
        <v>44</v>
      </c>
      <c r="E12" t="s">
        <v>202</v>
      </c>
      <c r="F12" t="s">
        <v>58</v>
      </c>
      <c r="G12">
        <v>220</v>
      </c>
      <c r="H12" t="s">
        <v>42</v>
      </c>
      <c r="I12" t="s">
        <v>160</v>
      </c>
    </row>
    <row r="13" spans="1:9" x14ac:dyDescent="0.25">
      <c r="A13" t="s">
        <v>170</v>
      </c>
      <c r="B13" t="s">
        <v>12</v>
      </c>
      <c r="C13">
        <v>890</v>
      </c>
      <c r="D13" t="s">
        <v>44</v>
      </c>
      <c r="E13" t="s">
        <v>203</v>
      </c>
      <c r="F13" t="s">
        <v>59</v>
      </c>
      <c r="G13">
        <v>221</v>
      </c>
      <c r="H13" t="s">
        <v>42</v>
      </c>
      <c r="I13" t="s">
        <v>160</v>
      </c>
    </row>
    <row r="14" spans="1:9" x14ac:dyDescent="0.25">
      <c r="A14" t="s">
        <v>171</v>
      </c>
      <c r="B14" t="s">
        <v>13</v>
      </c>
      <c r="C14">
        <v>880</v>
      </c>
      <c r="D14" t="s">
        <v>44</v>
      </c>
      <c r="E14" t="s">
        <v>204</v>
      </c>
      <c r="F14" t="s">
        <v>60</v>
      </c>
      <c r="G14">
        <v>231</v>
      </c>
      <c r="H14" t="s">
        <v>42</v>
      </c>
      <c r="I14" t="s">
        <v>40</v>
      </c>
    </row>
    <row r="15" spans="1:9" x14ac:dyDescent="0.25">
      <c r="A15" t="s">
        <v>172</v>
      </c>
      <c r="B15" t="s">
        <v>14</v>
      </c>
      <c r="C15">
        <v>850</v>
      </c>
      <c r="D15" t="s">
        <v>44</v>
      </c>
      <c r="E15" t="s">
        <v>205</v>
      </c>
      <c r="F15" t="s">
        <v>61</v>
      </c>
      <c r="G15">
        <v>265</v>
      </c>
      <c r="H15" t="s">
        <v>42</v>
      </c>
      <c r="I15" t="s">
        <v>40</v>
      </c>
    </row>
    <row r="16" spans="1:9" x14ac:dyDescent="0.25">
      <c r="A16" t="s">
        <v>173</v>
      </c>
      <c r="B16" t="s">
        <v>15</v>
      </c>
      <c r="C16">
        <v>912</v>
      </c>
      <c r="D16" t="s">
        <v>44</v>
      </c>
      <c r="E16" t="s">
        <v>206</v>
      </c>
      <c r="F16" t="s">
        <v>62</v>
      </c>
      <c r="G16">
        <v>230</v>
      </c>
      <c r="H16" t="s">
        <v>305</v>
      </c>
      <c r="I16" t="s">
        <v>160</v>
      </c>
    </row>
    <row r="17" spans="1:9" x14ac:dyDescent="0.25">
      <c r="A17" t="s">
        <v>174</v>
      </c>
      <c r="B17" t="s">
        <v>16</v>
      </c>
      <c r="C17">
        <v>492</v>
      </c>
      <c r="D17" t="s">
        <v>44</v>
      </c>
      <c r="E17" t="s">
        <v>207</v>
      </c>
      <c r="F17" t="s">
        <v>63</v>
      </c>
      <c r="G17">
        <v>240</v>
      </c>
      <c r="H17" t="s">
        <v>42</v>
      </c>
      <c r="I17" t="s">
        <v>40</v>
      </c>
    </row>
    <row r="18" spans="1:9" x14ac:dyDescent="0.25">
      <c r="A18" t="s">
        <v>175</v>
      </c>
      <c r="B18" t="s">
        <v>17</v>
      </c>
      <c r="C18">
        <v>932</v>
      </c>
      <c r="D18" t="s">
        <v>44</v>
      </c>
      <c r="E18" t="s">
        <v>208</v>
      </c>
      <c r="F18" t="s">
        <v>64</v>
      </c>
      <c r="G18">
        <v>252</v>
      </c>
      <c r="H18" t="s">
        <v>42</v>
      </c>
      <c r="I18" t="s">
        <v>164</v>
      </c>
    </row>
    <row r="19" spans="1:9" x14ac:dyDescent="0.25">
      <c r="A19" t="s">
        <v>176</v>
      </c>
      <c r="B19" t="s">
        <v>18</v>
      </c>
      <c r="C19">
        <v>932</v>
      </c>
      <c r="D19" t="s">
        <v>44</v>
      </c>
      <c r="E19" t="s">
        <v>209</v>
      </c>
      <c r="F19" t="s">
        <v>65</v>
      </c>
      <c r="G19">
        <v>253</v>
      </c>
      <c r="H19" t="s">
        <v>42</v>
      </c>
      <c r="I19" t="s">
        <v>166</v>
      </c>
    </row>
    <row r="20" spans="1:9" x14ac:dyDescent="0.25">
      <c r="A20" t="s">
        <v>177</v>
      </c>
      <c r="B20" t="s">
        <v>19</v>
      </c>
      <c r="C20">
        <v>931</v>
      </c>
      <c r="D20" t="s">
        <v>44</v>
      </c>
      <c r="E20" t="s">
        <v>210</v>
      </c>
      <c r="F20" t="s">
        <v>66</v>
      </c>
      <c r="G20" t="s">
        <v>67</v>
      </c>
      <c r="H20" t="s">
        <v>302</v>
      </c>
      <c r="I20" t="s">
        <v>40</v>
      </c>
    </row>
    <row r="21" spans="1:9" x14ac:dyDescent="0.25">
      <c r="A21" t="s">
        <v>178</v>
      </c>
      <c r="B21" t="s">
        <v>20</v>
      </c>
      <c r="C21">
        <v>942</v>
      </c>
      <c r="D21" t="s">
        <v>44</v>
      </c>
      <c r="E21" t="s">
        <v>211</v>
      </c>
      <c r="F21" t="s">
        <v>9</v>
      </c>
      <c r="G21">
        <v>310</v>
      </c>
      <c r="H21" t="s">
        <v>302</v>
      </c>
      <c r="I21" t="s">
        <v>167</v>
      </c>
    </row>
    <row r="22" spans="1:9" x14ac:dyDescent="0.25">
      <c r="A22" t="s">
        <v>179</v>
      </c>
      <c r="B22" t="s">
        <v>21</v>
      </c>
      <c r="C22">
        <v>862</v>
      </c>
      <c r="D22" t="s">
        <v>44</v>
      </c>
      <c r="E22" t="s">
        <v>212</v>
      </c>
      <c r="F22" t="s">
        <v>68</v>
      </c>
      <c r="G22">
        <v>311</v>
      </c>
      <c r="H22" t="s">
        <v>305</v>
      </c>
      <c r="I22" t="s">
        <v>40</v>
      </c>
    </row>
    <row r="23" spans="1:9" x14ac:dyDescent="0.25">
      <c r="A23" t="s">
        <v>180</v>
      </c>
      <c r="B23" t="s">
        <v>22</v>
      </c>
      <c r="C23">
        <v>813</v>
      </c>
      <c r="D23" t="s">
        <v>44</v>
      </c>
      <c r="E23" t="s">
        <v>213</v>
      </c>
      <c r="F23" t="s">
        <v>69</v>
      </c>
      <c r="G23">
        <v>312</v>
      </c>
      <c r="H23" t="s">
        <v>302</v>
      </c>
      <c r="I23" t="s">
        <v>40</v>
      </c>
    </row>
    <row r="24" spans="1:9" x14ac:dyDescent="0.25">
      <c r="A24" t="s">
        <v>181</v>
      </c>
      <c r="B24" t="s">
        <v>23</v>
      </c>
      <c r="C24">
        <v>444</v>
      </c>
      <c r="D24" t="s">
        <v>45</v>
      </c>
      <c r="E24" t="s">
        <v>214</v>
      </c>
      <c r="F24" t="s">
        <v>10</v>
      </c>
      <c r="G24">
        <v>320</v>
      </c>
      <c r="H24" t="s">
        <v>302</v>
      </c>
      <c r="I24" t="s">
        <v>168</v>
      </c>
    </row>
    <row r="25" spans="1:9" x14ac:dyDescent="0.25">
      <c r="A25" t="s">
        <v>182</v>
      </c>
      <c r="B25" t="s">
        <v>24</v>
      </c>
      <c r="C25">
        <v>710</v>
      </c>
      <c r="D25" t="s">
        <v>44</v>
      </c>
      <c r="E25" t="s">
        <v>215</v>
      </c>
      <c r="F25" t="s">
        <v>70</v>
      </c>
      <c r="G25">
        <v>330</v>
      </c>
      <c r="H25" t="s">
        <v>40</v>
      </c>
      <c r="I25" t="s">
        <v>40</v>
      </c>
    </row>
    <row r="26" spans="1:9" x14ac:dyDescent="0.25">
      <c r="A26" t="s">
        <v>183</v>
      </c>
      <c r="B26" t="s">
        <v>25</v>
      </c>
      <c r="C26">
        <v>720</v>
      </c>
      <c r="D26" t="s">
        <v>44</v>
      </c>
      <c r="E26" t="s">
        <v>216</v>
      </c>
      <c r="F26" t="s">
        <v>71</v>
      </c>
      <c r="H26" t="s">
        <v>40</v>
      </c>
      <c r="I26" t="s">
        <v>40</v>
      </c>
    </row>
    <row r="27" spans="1:9" x14ac:dyDescent="0.25">
      <c r="A27" t="s">
        <v>184</v>
      </c>
      <c r="B27" t="s">
        <v>26</v>
      </c>
      <c r="C27">
        <v>110</v>
      </c>
      <c r="D27" t="s">
        <v>44</v>
      </c>
      <c r="E27" t="s">
        <v>217</v>
      </c>
      <c r="F27" t="s">
        <v>72</v>
      </c>
      <c r="G27" t="s">
        <v>77</v>
      </c>
      <c r="H27" t="s">
        <v>40</v>
      </c>
      <c r="I27" t="s">
        <v>40</v>
      </c>
    </row>
    <row r="28" spans="1:9" x14ac:dyDescent="0.25">
      <c r="A28" t="s">
        <v>185</v>
      </c>
      <c r="B28" t="s">
        <v>27</v>
      </c>
      <c r="C28">
        <v>140</v>
      </c>
      <c r="D28" t="s">
        <v>44</v>
      </c>
      <c r="E28" t="s">
        <v>218</v>
      </c>
      <c r="F28" t="s">
        <v>73</v>
      </c>
      <c r="G28" t="s">
        <v>77</v>
      </c>
      <c r="H28" t="s">
        <v>40</v>
      </c>
      <c r="I28" t="s">
        <v>40</v>
      </c>
    </row>
    <row r="29" spans="1:9" x14ac:dyDescent="0.25">
      <c r="A29" t="s">
        <v>186</v>
      </c>
      <c r="B29" t="s">
        <v>28</v>
      </c>
      <c r="C29">
        <v>151</v>
      </c>
      <c r="D29" t="s">
        <v>44</v>
      </c>
      <c r="E29" t="s">
        <v>219</v>
      </c>
      <c r="F29" t="s">
        <v>74</v>
      </c>
      <c r="G29" t="s">
        <v>77</v>
      </c>
      <c r="H29" t="s">
        <v>40</v>
      </c>
      <c r="I29" t="s">
        <v>40</v>
      </c>
    </row>
    <row r="30" spans="1:9" x14ac:dyDescent="0.25">
      <c r="A30" t="s">
        <v>187</v>
      </c>
      <c r="B30" t="s">
        <v>29</v>
      </c>
      <c r="C30">
        <v>550</v>
      </c>
      <c r="D30" t="s">
        <v>46</v>
      </c>
      <c r="E30" t="s">
        <v>220</v>
      </c>
      <c r="F30" t="s">
        <v>75</v>
      </c>
      <c r="G30" t="s">
        <v>77</v>
      </c>
      <c r="H30" t="s">
        <v>40</v>
      </c>
      <c r="I30" t="s">
        <v>40</v>
      </c>
    </row>
    <row r="31" spans="1:9" x14ac:dyDescent="0.25">
      <c r="A31" t="s">
        <v>188</v>
      </c>
      <c r="B31" t="s">
        <v>30</v>
      </c>
      <c r="C31">
        <v>530</v>
      </c>
      <c r="D31" t="s">
        <v>46</v>
      </c>
      <c r="E31" t="s">
        <v>221</v>
      </c>
      <c r="F31" t="s">
        <v>76</v>
      </c>
      <c r="G31" t="s">
        <v>77</v>
      </c>
      <c r="H31" t="s">
        <v>40</v>
      </c>
      <c r="I31" t="s">
        <v>40</v>
      </c>
    </row>
    <row r="32" spans="1:9" x14ac:dyDescent="0.25">
      <c r="A32" t="s">
        <v>189</v>
      </c>
      <c r="B32" t="s">
        <v>31</v>
      </c>
      <c r="C32">
        <v>522</v>
      </c>
      <c r="D32" t="s">
        <v>46</v>
      </c>
      <c r="E32" t="s">
        <v>222</v>
      </c>
      <c r="F32" t="s">
        <v>78</v>
      </c>
      <c r="G32">
        <v>411</v>
      </c>
      <c r="H32" t="s">
        <v>306</v>
      </c>
      <c r="I32" t="s">
        <v>40</v>
      </c>
    </row>
    <row r="33" spans="1:9" x14ac:dyDescent="0.25">
      <c r="A33" t="s">
        <v>190</v>
      </c>
      <c r="B33" t="s">
        <v>32</v>
      </c>
      <c r="C33">
        <v>520</v>
      </c>
      <c r="D33" t="s">
        <v>46</v>
      </c>
      <c r="E33" t="s">
        <v>223</v>
      </c>
      <c r="F33" t="s">
        <v>79</v>
      </c>
      <c r="G33">
        <v>416</v>
      </c>
      <c r="H33" t="s">
        <v>40</v>
      </c>
      <c r="I33" t="s">
        <v>40</v>
      </c>
    </row>
    <row r="34" spans="1:9" x14ac:dyDescent="0.25">
      <c r="A34" t="s">
        <v>191</v>
      </c>
      <c r="B34" t="s">
        <v>33</v>
      </c>
      <c r="C34">
        <v>534</v>
      </c>
      <c r="D34" t="s">
        <v>46</v>
      </c>
      <c r="E34" t="s">
        <v>224</v>
      </c>
      <c r="F34" t="s">
        <v>80</v>
      </c>
      <c r="H34" t="s">
        <v>40</v>
      </c>
      <c r="I34" t="s">
        <v>40</v>
      </c>
    </row>
    <row r="35" spans="1:9" x14ac:dyDescent="0.25">
      <c r="E35" t="s">
        <v>225</v>
      </c>
      <c r="F35" t="s">
        <v>81</v>
      </c>
      <c r="G35">
        <v>30</v>
      </c>
      <c r="H35" t="s">
        <v>307</v>
      </c>
      <c r="I35" t="s">
        <v>40</v>
      </c>
    </row>
    <row r="36" spans="1:9" x14ac:dyDescent="0.25">
      <c r="E36" t="s">
        <v>226</v>
      </c>
      <c r="F36" t="s">
        <v>82</v>
      </c>
      <c r="G36">
        <v>437</v>
      </c>
      <c r="H36" t="s">
        <v>40</v>
      </c>
      <c r="I36" t="s">
        <v>40</v>
      </c>
    </row>
    <row r="37" spans="1:9" x14ac:dyDescent="0.25">
      <c r="E37" t="s">
        <v>227</v>
      </c>
      <c r="F37" t="s">
        <v>83</v>
      </c>
      <c r="G37">
        <v>444</v>
      </c>
      <c r="H37" t="s">
        <v>40</v>
      </c>
      <c r="I37" t="s">
        <v>181</v>
      </c>
    </row>
    <row r="38" spans="1:9" x14ac:dyDescent="0.25">
      <c r="E38" t="s">
        <v>228</v>
      </c>
      <c r="F38" t="s">
        <v>84</v>
      </c>
      <c r="G38">
        <v>445</v>
      </c>
      <c r="H38" t="s">
        <v>40</v>
      </c>
      <c r="I38" t="s">
        <v>181</v>
      </c>
    </row>
    <row r="39" spans="1:9" x14ac:dyDescent="0.25">
      <c r="E39" t="s">
        <v>229</v>
      </c>
      <c r="F39" t="s">
        <v>85</v>
      </c>
      <c r="G39">
        <v>465</v>
      </c>
      <c r="H39" t="s">
        <v>40</v>
      </c>
      <c r="I39" t="s">
        <v>40</v>
      </c>
    </row>
    <row r="40" spans="1:9" x14ac:dyDescent="0.25">
      <c r="E40" t="s">
        <v>230</v>
      </c>
      <c r="F40" t="s">
        <v>86</v>
      </c>
      <c r="H40" t="s">
        <v>40</v>
      </c>
      <c r="I40" t="s">
        <v>40</v>
      </c>
    </row>
    <row r="41" spans="1:9" x14ac:dyDescent="0.25">
      <c r="E41" t="s">
        <v>231</v>
      </c>
      <c r="F41" t="s">
        <v>87</v>
      </c>
      <c r="G41">
        <v>490</v>
      </c>
      <c r="H41" t="s">
        <v>308</v>
      </c>
      <c r="I41" t="s">
        <v>40</v>
      </c>
    </row>
    <row r="42" spans="1:9" x14ac:dyDescent="0.25">
      <c r="E42" t="s">
        <v>232</v>
      </c>
      <c r="F42" t="s">
        <v>88</v>
      </c>
      <c r="G42">
        <v>492</v>
      </c>
      <c r="H42" t="s">
        <v>40</v>
      </c>
      <c r="I42" t="s">
        <v>174</v>
      </c>
    </row>
    <row r="43" spans="1:9" x14ac:dyDescent="0.25">
      <c r="E43" t="s">
        <v>233</v>
      </c>
      <c r="F43" t="s">
        <v>89</v>
      </c>
      <c r="G43">
        <v>493</v>
      </c>
      <c r="H43" t="s">
        <v>40</v>
      </c>
      <c r="I43" t="s">
        <v>174</v>
      </c>
    </row>
    <row r="44" spans="1:9" x14ac:dyDescent="0.25">
      <c r="E44" t="s">
        <v>234</v>
      </c>
      <c r="F44" t="s">
        <v>90</v>
      </c>
      <c r="G44">
        <v>495</v>
      </c>
      <c r="H44" t="s">
        <v>44</v>
      </c>
      <c r="I44" t="s">
        <v>174</v>
      </c>
    </row>
    <row r="45" spans="1:9" x14ac:dyDescent="0.25">
      <c r="E45" t="s">
        <v>235</v>
      </c>
      <c r="F45" t="s">
        <v>91</v>
      </c>
      <c r="G45">
        <v>520</v>
      </c>
      <c r="H45" t="s">
        <v>302</v>
      </c>
      <c r="I45" t="s">
        <v>190</v>
      </c>
    </row>
    <row r="46" spans="1:9" x14ac:dyDescent="0.25">
      <c r="E46" t="s">
        <v>236</v>
      </c>
      <c r="F46" t="s">
        <v>92</v>
      </c>
      <c r="G46">
        <v>522</v>
      </c>
      <c r="H46" t="s">
        <v>302</v>
      </c>
      <c r="I46" t="s">
        <v>189</v>
      </c>
    </row>
    <row r="47" spans="1:9" x14ac:dyDescent="0.25">
      <c r="E47" t="s">
        <v>237</v>
      </c>
      <c r="F47" t="s">
        <v>93</v>
      </c>
      <c r="G47">
        <v>530</v>
      </c>
      <c r="H47" t="s">
        <v>302</v>
      </c>
      <c r="I47" t="s">
        <v>188</v>
      </c>
    </row>
    <row r="48" spans="1:9" x14ac:dyDescent="0.25">
      <c r="E48" t="s">
        <v>238</v>
      </c>
      <c r="F48" t="s">
        <v>94</v>
      </c>
      <c r="G48">
        <v>534</v>
      </c>
      <c r="H48" t="s">
        <v>40</v>
      </c>
      <c r="I48" t="s">
        <v>191</v>
      </c>
    </row>
    <row r="49" spans="5:9" x14ac:dyDescent="0.25">
      <c r="E49" t="s">
        <v>239</v>
      </c>
      <c r="F49" t="s">
        <v>95</v>
      </c>
      <c r="G49">
        <v>536</v>
      </c>
      <c r="H49" t="s">
        <v>302</v>
      </c>
      <c r="I49" t="s">
        <v>191</v>
      </c>
    </row>
    <row r="50" spans="5:9" x14ac:dyDescent="0.25">
      <c r="E50" t="s">
        <v>240</v>
      </c>
      <c r="F50" t="s">
        <v>96</v>
      </c>
      <c r="G50">
        <v>537</v>
      </c>
      <c r="H50" t="s">
        <v>40</v>
      </c>
      <c r="I50" t="s">
        <v>191</v>
      </c>
    </row>
    <row r="51" spans="5:9" x14ac:dyDescent="0.25">
      <c r="E51" t="s">
        <v>241</v>
      </c>
      <c r="F51" t="s">
        <v>97</v>
      </c>
      <c r="G51">
        <v>538</v>
      </c>
      <c r="H51" t="s">
        <v>44</v>
      </c>
      <c r="I51" t="s">
        <v>182</v>
      </c>
    </row>
    <row r="52" spans="5:9" x14ac:dyDescent="0.25">
      <c r="E52" t="s">
        <v>242</v>
      </c>
      <c r="F52" t="s">
        <v>98</v>
      </c>
      <c r="G52">
        <v>540</v>
      </c>
      <c r="H52" t="s">
        <v>309</v>
      </c>
      <c r="I52" t="s">
        <v>187</v>
      </c>
    </row>
    <row r="53" spans="5:9" x14ac:dyDescent="0.25">
      <c r="E53" t="s">
        <v>243</v>
      </c>
      <c r="F53" t="s">
        <v>99</v>
      </c>
      <c r="G53">
        <v>550</v>
      </c>
      <c r="H53" t="s">
        <v>309</v>
      </c>
      <c r="I53" t="s">
        <v>187</v>
      </c>
    </row>
    <row r="54" spans="5:9" x14ac:dyDescent="0.25">
      <c r="E54" t="s">
        <v>244</v>
      </c>
      <c r="F54" t="s">
        <v>100</v>
      </c>
      <c r="G54">
        <v>560</v>
      </c>
      <c r="H54" t="s">
        <v>44</v>
      </c>
      <c r="I54" t="s">
        <v>40</v>
      </c>
    </row>
    <row r="55" spans="5:9" x14ac:dyDescent="0.25">
      <c r="E55" t="s">
        <v>245</v>
      </c>
      <c r="F55" t="s">
        <v>101</v>
      </c>
      <c r="G55">
        <v>561</v>
      </c>
      <c r="H55" t="s">
        <v>40</v>
      </c>
      <c r="I55" t="s">
        <v>40</v>
      </c>
    </row>
    <row r="56" spans="5:9" x14ac:dyDescent="0.25">
      <c r="E56" t="s">
        <v>246</v>
      </c>
      <c r="F56" t="s">
        <v>102</v>
      </c>
      <c r="G56">
        <v>562</v>
      </c>
      <c r="H56" t="s">
        <v>40</v>
      </c>
      <c r="I56" t="s">
        <v>40</v>
      </c>
    </row>
    <row r="57" spans="5:9" x14ac:dyDescent="0.25">
      <c r="E57" t="s">
        <v>247</v>
      </c>
      <c r="F57" t="s">
        <v>103</v>
      </c>
      <c r="G57">
        <v>565</v>
      </c>
      <c r="H57" t="s">
        <v>44</v>
      </c>
      <c r="I57" t="s">
        <v>40</v>
      </c>
    </row>
    <row r="58" spans="5:9" x14ac:dyDescent="0.25">
      <c r="E58" t="s">
        <v>248</v>
      </c>
      <c r="F58" t="s">
        <v>104</v>
      </c>
      <c r="G58">
        <v>566</v>
      </c>
      <c r="H58" t="s">
        <v>302</v>
      </c>
      <c r="I58" t="s">
        <v>40</v>
      </c>
    </row>
    <row r="59" spans="5:9" x14ac:dyDescent="0.25">
      <c r="E59" t="s">
        <v>249</v>
      </c>
      <c r="F59" t="s">
        <v>105</v>
      </c>
      <c r="G59">
        <v>590</v>
      </c>
      <c r="H59" t="s">
        <v>44</v>
      </c>
      <c r="I59" t="s">
        <v>40</v>
      </c>
    </row>
    <row r="60" spans="5:9" x14ac:dyDescent="0.25">
      <c r="E60" t="s">
        <v>250</v>
      </c>
      <c r="F60" t="s">
        <v>106</v>
      </c>
      <c r="G60">
        <v>610</v>
      </c>
      <c r="H60" t="s">
        <v>44</v>
      </c>
      <c r="I60" t="s">
        <v>40</v>
      </c>
    </row>
    <row r="62" spans="5:9" x14ac:dyDescent="0.25">
      <c r="E62" t="s">
        <v>252</v>
      </c>
      <c r="F62" t="s">
        <v>108</v>
      </c>
      <c r="G62">
        <v>630</v>
      </c>
      <c r="H62" t="s">
        <v>44</v>
      </c>
      <c r="I62" t="s">
        <v>183</v>
      </c>
    </row>
    <row r="63" spans="5:9" x14ac:dyDescent="0.25">
      <c r="E63" t="s">
        <v>253</v>
      </c>
      <c r="F63" t="s">
        <v>109</v>
      </c>
      <c r="G63">
        <v>640</v>
      </c>
      <c r="H63" t="s">
        <v>44</v>
      </c>
      <c r="I63" t="s">
        <v>40</v>
      </c>
    </row>
    <row r="64" spans="5:9" x14ac:dyDescent="0.25">
      <c r="E64" t="s">
        <v>254</v>
      </c>
      <c r="F64" t="s">
        <v>110</v>
      </c>
      <c r="G64">
        <v>710</v>
      </c>
      <c r="H64" t="s">
        <v>44</v>
      </c>
      <c r="I64" t="s">
        <v>182</v>
      </c>
    </row>
    <row r="65" spans="5:10" x14ac:dyDescent="0.25">
      <c r="E65" t="s">
        <v>255</v>
      </c>
      <c r="F65" t="s">
        <v>111</v>
      </c>
      <c r="G65">
        <v>712</v>
      </c>
      <c r="H65" t="s">
        <v>44</v>
      </c>
      <c r="I65" t="s">
        <v>182</v>
      </c>
    </row>
    <row r="66" spans="5:10" x14ac:dyDescent="0.25">
      <c r="E66" t="s">
        <v>256</v>
      </c>
      <c r="F66" t="s">
        <v>112</v>
      </c>
      <c r="G66">
        <v>714</v>
      </c>
      <c r="H66" t="s">
        <v>44</v>
      </c>
      <c r="I66" t="s">
        <v>182</v>
      </c>
    </row>
    <row r="67" spans="5:10" x14ac:dyDescent="0.25">
      <c r="E67" t="s">
        <v>257</v>
      </c>
      <c r="F67" t="s">
        <v>113</v>
      </c>
      <c r="G67">
        <v>715</v>
      </c>
      <c r="H67" t="s">
        <v>44</v>
      </c>
      <c r="I67" t="s">
        <v>182</v>
      </c>
    </row>
    <row r="68" spans="5:10" x14ac:dyDescent="0.25">
      <c r="E68" t="s">
        <v>258</v>
      </c>
      <c r="F68" t="s">
        <v>114</v>
      </c>
      <c r="G68">
        <v>720</v>
      </c>
      <c r="H68" t="s">
        <v>44</v>
      </c>
      <c r="I68" t="s">
        <v>183</v>
      </c>
    </row>
    <row r="69" spans="5:10" x14ac:dyDescent="0.25">
      <c r="E69" t="s">
        <v>259</v>
      </c>
      <c r="F69" t="s">
        <v>115</v>
      </c>
      <c r="G69">
        <v>730</v>
      </c>
      <c r="H69" t="s">
        <v>44</v>
      </c>
      <c r="I69" t="s">
        <v>182</v>
      </c>
    </row>
    <row r="70" spans="5:10" x14ac:dyDescent="0.25">
      <c r="E70" t="s">
        <v>260</v>
      </c>
      <c r="F70" t="s">
        <v>116</v>
      </c>
      <c r="G70">
        <v>731</v>
      </c>
      <c r="H70" t="s">
        <v>40</v>
      </c>
      <c r="I70" t="s">
        <v>40</v>
      </c>
    </row>
    <row r="71" spans="5:10" x14ac:dyDescent="0.25">
      <c r="E71" t="s">
        <v>261</v>
      </c>
      <c r="F71" t="s">
        <v>117</v>
      </c>
      <c r="G71">
        <v>732</v>
      </c>
      <c r="H71" t="s">
        <v>44</v>
      </c>
      <c r="I71" t="s">
        <v>40</v>
      </c>
    </row>
    <row r="72" spans="5:10" x14ac:dyDescent="0.25">
      <c r="E72" t="s">
        <v>262</v>
      </c>
      <c r="F72" t="s">
        <v>118</v>
      </c>
      <c r="G72">
        <v>733</v>
      </c>
      <c r="H72" t="s">
        <v>40</v>
      </c>
      <c r="I72" t="s">
        <v>182</v>
      </c>
    </row>
    <row r="73" spans="5:10" x14ac:dyDescent="0.25">
      <c r="E73" t="s">
        <v>263</v>
      </c>
      <c r="F73" t="s">
        <v>119</v>
      </c>
      <c r="G73">
        <v>760</v>
      </c>
      <c r="H73" t="s">
        <v>44</v>
      </c>
      <c r="I73" t="s">
        <v>40</v>
      </c>
    </row>
    <row r="74" spans="5:10" x14ac:dyDescent="0.25">
      <c r="E74" t="s">
        <v>264</v>
      </c>
      <c r="F74" t="s">
        <v>120</v>
      </c>
      <c r="G74">
        <v>770</v>
      </c>
      <c r="H74" t="s">
        <v>44</v>
      </c>
      <c r="I74" t="s">
        <v>182</v>
      </c>
    </row>
    <row r="75" spans="5:10" x14ac:dyDescent="0.25">
      <c r="E75" t="s">
        <v>265</v>
      </c>
      <c r="F75" t="s">
        <v>121</v>
      </c>
      <c r="G75">
        <v>811</v>
      </c>
      <c r="H75" t="s">
        <v>40</v>
      </c>
      <c r="I75" t="s">
        <v>40</v>
      </c>
    </row>
    <row r="76" spans="5:10" x14ac:dyDescent="0.25">
      <c r="E76" t="s">
        <v>266</v>
      </c>
      <c r="F76" t="s">
        <v>122</v>
      </c>
      <c r="H76" t="s">
        <v>40</v>
      </c>
      <c r="I76" t="s">
        <v>40</v>
      </c>
    </row>
    <row r="77" spans="5:10" x14ac:dyDescent="0.25">
      <c r="E77" t="s">
        <v>267</v>
      </c>
      <c r="F77" t="s">
        <v>123</v>
      </c>
      <c r="H77" t="s">
        <v>40</v>
      </c>
      <c r="I77" t="s">
        <v>40</v>
      </c>
      <c r="J77" t="s">
        <v>124</v>
      </c>
    </row>
    <row r="78" spans="5:10" x14ac:dyDescent="0.25">
      <c r="E78" t="s">
        <v>268</v>
      </c>
      <c r="F78" t="s">
        <v>125</v>
      </c>
      <c r="G78">
        <v>812</v>
      </c>
      <c r="H78" t="s">
        <v>44</v>
      </c>
      <c r="I78" t="s">
        <v>179</v>
      </c>
      <c r="J78" t="s">
        <v>124</v>
      </c>
    </row>
    <row r="79" spans="5:10" x14ac:dyDescent="0.25">
      <c r="E79" t="s">
        <v>269</v>
      </c>
      <c r="F79" t="s">
        <v>126</v>
      </c>
      <c r="G79">
        <v>813</v>
      </c>
      <c r="H79" t="s">
        <v>44</v>
      </c>
      <c r="I79" t="s">
        <v>180</v>
      </c>
      <c r="J79" t="s">
        <v>124</v>
      </c>
    </row>
    <row r="80" spans="5:10" x14ac:dyDescent="0.25">
      <c r="E80" t="s">
        <v>270</v>
      </c>
      <c r="F80" t="s">
        <v>127</v>
      </c>
      <c r="G80">
        <v>815</v>
      </c>
      <c r="H80" t="s">
        <v>44</v>
      </c>
      <c r="I80" t="s">
        <v>180</v>
      </c>
      <c r="J80" t="s">
        <v>124</v>
      </c>
    </row>
    <row r="81" spans="5:10" x14ac:dyDescent="0.25">
      <c r="E81" t="s">
        <v>271</v>
      </c>
      <c r="F81" t="s">
        <v>128</v>
      </c>
      <c r="G81">
        <v>814</v>
      </c>
      <c r="H81" t="s">
        <v>302</v>
      </c>
      <c r="I81" t="s">
        <v>169</v>
      </c>
      <c r="J81" t="s">
        <v>124</v>
      </c>
    </row>
    <row r="82" spans="5:10" x14ac:dyDescent="0.25">
      <c r="E82" t="s">
        <v>272</v>
      </c>
      <c r="F82" t="s">
        <v>129</v>
      </c>
      <c r="G82">
        <v>816</v>
      </c>
      <c r="H82" t="s">
        <v>302</v>
      </c>
      <c r="I82" t="s">
        <v>169</v>
      </c>
      <c r="J82" t="s">
        <v>124</v>
      </c>
    </row>
    <row r="83" spans="5:10" x14ac:dyDescent="0.25">
      <c r="E83" t="s">
        <v>273</v>
      </c>
      <c r="F83" t="s">
        <v>130</v>
      </c>
      <c r="G83">
        <v>817</v>
      </c>
      <c r="H83" t="s">
        <v>44</v>
      </c>
      <c r="I83" t="s">
        <v>169</v>
      </c>
      <c r="J83" t="s">
        <v>124</v>
      </c>
    </row>
    <row r="84" spans="5:10" x14ac:dyDescent="0.25">
      <c r="E84" t="s">
        <v>274</v>
      </c>
      <c r="F84" t="s">
        <v>131</v>
      </c>
      <c r="G84">
        <v>818</v>
      </c>
      <c r="H84" t="s">
        <v>44</v>
      </c>
      <c r="I84" t="s">
        <v>40</v>
      </c>
      <c r="J84" t="s">
        <v>124</v>
      </c>
    </row>
    <row r="85" spans="5:10" x14ac:dyDescent="0.25">
      <c r="E85" t="s">
        <v>275</v>
      </c>
      <c r="F85" t="s">
        <v>132</v>
      </c>
      <c r="G85">
        <v>820</v>
      </c>
      <c r="H85" t="s">
        <v>44</v>
      </c>
      <c r="I85" t="s">
        <v>169</v>
      </c>
      <c r="J85" t="s">
        <v>124</v>
      </c>
    </row>
    <row r="86" spans="5:10" x14ac:dyDescent="0.25">
      <c r="E86" t="s">
        <v>276</v>
      </c>
      <c r="F86" t="s">
        <v>133</v>
      </c>
      <c r="G86">
        <v>823</v>
      </c>
      <c r="H86" t="s">
        <v>44</v>
      </c>
      <c r="I86" t="s">
        <v>169</v>
      </c>
    </row>
    <row r="87" spans="5:10" x14ac:dyDescent="0.25">
      <c r="E87" t="s">
        <v>277</v>
      </c>
      <c r="F87" t="s">
        <v>134</v>
      </c>
      <c r="G87">
        <v>840</v>
      </c>
      <c r="H87" t="s">
        <v>44</v>
      </c>
      <c r="I87" t="s">
        <v>40</v>
      </c>
      <c r="J87" t="s">
        <v>124</v>
      </c>
    </row>
    <row r="88" spans="5:10" x14ac:dyDescent="0.25">
      <c r="E88" t="s">
        <v>278</v>
      </c>
      <c r="F88" t="s">
        <v>135</v>
      </c>
      <c r="G88">
        <v>841</v>
      </c>
      <c r="H88" t="s">
        <v>44</v>
      </c>
      <c r="I88" t="s">
        <v>40</v>
      </c>
      <c r="J88" t="s">
        <v>124</v>
      </c>
    </row>
    <row r="89" spans="5:10" x14ac:dyDescent="0.25">
      <c r="E89" t="s">
        <v>279</v>
      </c>
      <c r="F89" t="s">
        <v>136</v>
      </c>
      <c r="G89">
        <v>843</v>
      </c>
      <c r="H89" t="s">
        <v>44</v>
      </c>
      <c r="I89" t="s">
        <v>40</v>
      </c>
      <c r="J89" t="s">
        <v>124</v>
      </c>
    </row>
    <row r="90" spans="5:10" x14ac:dyDescent="0.25">
      <c r="E90" t="s">
        <v>280</v>
      </c>
      <c r="F90" t="s">
        <v>137</v>
      </c>
      <c r="G90">
        <v>943</v>
      </c>
      <c r="H90" t="s">
        <v>44</v>
      </c>
      <c r="I90" t="s">
        <v>178</v>
      </c>
      <c r="J90" t="s">
        <v>124</v>
      </c>
    </row>
    <row r="91" spans="5:10" x14ac:dyDescent="0.25">
      <c r="E91" t="s">
        <v>281</v>
      </c>
      <c r="F91" t="s">
        <v>138</v>
      </c>
      <c r="G91">
        <v>848</v>
      </c>
      <c r="H91" t="s">
        <v>44</v>
      </c>
      <c r="I91" t="s">
        <v>178</v>
      </c>
      <c r="J91" t="s">
        <v>124</v>
      </c>
    </row>
    <row r="92" spans="5:10" x14ac:dyDescent="0.25">
      <c r="E92" t="s">
        <v>282</v>
      </c>
      <c r="F92" t="s">
        <v>139</v>
      </c>
      <c r="G92">
        <v>849</v>
      </c>
      <c r="H92" t="s">
        <v>310</v>
      </c>
      <c r="I92" t="s">
        <v>178</v>
      </c>
      <c r="J92" t="s">
        <v>124</v>
      </c>
    </row>
    <row r="93" spans="5:10" x14ac:dyDescent="0.25">
      <c r="E93" t="s">
        <v>283</v>
      </c>
      <c r="F93" t="s">
        <v>14</v>
      </c>
      <c r="G93">
        <v>850</v>
      </c>
      <c r="H93" t="s">
        <v>44</v>
      </c>
      <c r="I93" t="s">
        <v>172</v>
      </c>
      <c r="J93" t="s">
        <v>124</v>
      </c>
    </row>
    <row r="94" spans="5:10" x14ac:dyDescent="0.25">
      <c r="E94" t="s">
        <v>284</v>
      </c>
      <c r="F94" t="s">
        <v>140</v>
      </c>
      <c r="G94">
        <v>854</v>
      </c>
      <c r="H94" t="s">
        <v>44</v>
      </c>
      <c r="I94" t="s">
        <v>172</v>
      </c>
      <c r="J94" t="s">
        <v>124</v>
      </c>
    </row>
    <row r="95" spans="5:10" x14ac:dyDescent="0.25">
      <c r="E95" t="s">
        <v>285</v>
      </c>
      <c r="F95" t="s">
        <v>141</v>
      </c>
      <c r="G95">
        <v>851</v>
      </c>
      <c r="H95" t="s">
        <v>44</v>
      </c>
      <c r="I95" t="s">
        <v>180</v>
      </c>
      <c r="J95" t="s">
        <v>124</v>
      </c>
    </row>
    <row r="96" spans="5:10" x14ac:dyDescent="0.25">
      <c r="E96" t="s">
        <v>286</v>
      </c>
      <c r="F96" t="s">
        <v>142</v>
      </c>
      <c r="G96">
        <v>944</v>
      </c>
      <c r="H96" t="s">
        <v>44</v>
      </c>
      <c r="I96" t="s">
        <v>40</v>
      </c>
      <c r="J96" t="s">
        <v>124</v>
      </c>
    </row>
    <row r="97" spans="5:10" x14ac:dyDescent="0.25">
      <c r="E97" t="s">
        <v>287</v>
      </c>
      <c r="F97" t="s">
        <v>143</v>
      </c>
      <c r="G97">
        <v>945</v>
      </c>
      <c r="H97" t="s">
        <v>44</v>
      </c>
      <c r="I97" t="s">
        <v>40</v>
      </c>
      <c r="J97" t="s">
        <v>124</v>
      </c>
    </row>
    <row r="98" spans="5:10" x14ac:dyDescent="0.25">
      <c r="E98" t="s">
        <v>288</v>
      </c>
      <c r="F98" t="s">
        <v>144</v>
      </c>
      <c r="G98">
        <v>947</v>
      </c>
      <c r="H98" t="s">
        <v>40</v>
      </c>
      <c r="I98" t="s">
        <v>40</v>
      </c>
      <c r="J98" t="s">
        <v>124</v>
      </c>
    </row>
    <row r="99" spans="5:10" x14ac:dyDescent="0.25">
      <c r="E99" t="s">
        <v>289</v>
      </c>
      <c r="F99" t="s">
        <v>145</v>
      </c>
      <c r="G99">
        <v>876</v>
      </c>
      <c r="H99" t="s">
        <v>40</v>
      </c>
      <c r="I99" t="s">
        <v>169</v>
      </c>
    </row>
    <row r="100" spans="5:10" x14ac:dyDescent="0.25">
      <c r="E100" t="s">
        <v>290</v>
      </c>
      <c r="F100" t="s">
        <v>146</v>
      </c>
      <c r="G100">
        <v>880</v>
      </c>
      <c r="H100" t="s">
        <v>44</v>
      </c>
      <c r="I100" t="s">
        <v>171</v>
      </c>
      <c r="J100" t="s">
        <v>124</v>
      </c>
    </row>
    <row r="101" spans="5:10" x14ac:dyDescent="0.25">
      <c r="E101" t="s">
        <v>291</v>
      </c>
      <c r="F101" t="s">
        <v>147</v>
      </c>
      <c r="G101">
        <v>882</v>
      </c>
      <c r="H101" t="s">
        <v>44</v>
      </c>
      <c r="I101" t="s">
        <v>40</v>
      </c>
    </row>
    <row r="102" spans="5:10" x14ac:dyDescent="0.25">
      <c r="E102" t="s">
        <v>292</v>
      </c>
      <c r="F102" t="s">
        <v>148</v>
      </c>
      <c r="G102">
        <v>890</v>
      </c>
      <c r="H102" t="s">
        <v>302</v>
      </c>
      <c r="I102" t="s">
        <v>170</v>
      </c>
    </row>
    <row r="103" spans="5:10" x14ac:dyDescent="0.25">
      <c r="E103" t="s">
        <v>293</v>
      </c>
      <c r="F103" t="s">
        <v>149</v>
      </c>
      <c r="G103">
        <v>911</v>
      </c>
      <c r="H103" t="s">
        <v>40</v>
      </c>
      <c r="I103" t="s">
        <v>173</v>
      </c>
      <c r="J103" t="s">
        <v>124</v>
      </c>
    </row>
    <row r="104" spans="5:10" x14ac:dyDescent="0.25">
      <c r="E104" t="s">
        <v>294</v>
      </c>
      <c r="F104" t="s">
        <v>150</v>
      </c>
      <c r="G104">
        <v>925</v>
      </c>
      <c r="H104" t="s">
        <v>40</v>
      </c>
      <c r="I104" t="s">
        <v>175</v>
      </c>
      <c r="J104" t="s">
        <v>124</v>
      </c>
    </row>
    <row r="105" spans="5:10" x14ac:dyDescent="0.25">
      <c r="E105" t="s">
        <v>295</v>
      </c>
      <c r="F105" t="s">
        <v>151</v>
      </c>
      <c r="G105">
        <v>926</v>
      </c>
      <c r="H105" t="s">
        <v>40</v>
      </c>
      <c r="I105" t="s">
        <v>40</v>
      </c>
      <c r="J105" t="s">
        <v>124</v>
      </c>
    </row>
    <row r="106" spans="5:10" x14ac:dyDescent="0.25">
      <c r="E106" t="s">
        <v>296</v>
      </c>
      <c r="F106" t="s">
        <v>152</v>
      </c>
      <c r="G106">
        <v>930</v>
      </c>
      <c r="H106" t="s">
        <v>40</v>
      </c>
      <c r="I106" t="s">
        <v>175</v>
      </c>
      <c r="J106" t="s">
        <v>124</v>
      </c>
    </row>
    <row r="107" spans="5:10" x14ac:dyDescent="0.25">
      <c r="E107" t="s">
        <v>297</v>
      </c>
      <c r="F107" t="s">
        <v>153</v>
      </c>
      <c r="G107">
        <v>931</v>
      </c>
      <c r="H107" t="s">
        <v>44</v>
      </c>
      <c r="I107" t="s">
        <v>177</v>
      </c>
      <c r="J107" t="s">
        <v>124</v>
      </c>
    </row>
    <row r="108" spans="5:10" x14ac:dyDescent="0.25">
      <c r="E108" t="s">
        <v>298</v>
      </c>
      <c r="F108" t="s">
        <v>154</v>
      </c>
      <c r="G108">
        <v>932</v>
      </c>
      <c r="H108" t="s">
        <v>44</v>
      </c>
      <c r="I108" t="s">
        <v>175</v>
      </c>
      <c r="J108" t="s">
        <v>124</v>
      </c>
    </row>
    <row r="109" spans="5:10" x14ac:dyDescent="0.25">
      <c r="E109" t="s">
        <v>299</v>
      </c>
      <c r="F109" t="s">
        <v>155</v>
      </c>
      <c r="G109">
        <v>933</v>
      </c>
      <c r="H109" t="s">
        <v>44</v>
      </c>
      <c r="I109" t="s">
        <v>176</v>
      </c>
      <c r="J109" t="s">
        <v>124</v>
      </c>
    </row>
    <row r="110" spans="5:10" x14ac:dyDescent="0.25">
      <c r="E110" t="s">
        <v>300</v>
      </c>
      <c r="F110" t="s">
        <v>156</v>
      </c>
      <c r="G110">
        <v>936</v>
      </c>
      <c r="H110" t="s">
        <v>40</v>
      </c>
      <c r="I110" t="s">
        <v>40</v>
      </c>
      <c r="J110" t="s">
        <v>124</v>
      </c>
    </row>
    <row r="111" spans="5:10" x14ac:dyDescent="0.25">
      <c r="E111" t="s">
        <v>301</v>
      </c>
    </row>
  </sheetData>
  <phoneticPr fontId="1" type="noConversion"/>
  <pageMargins left="0.7" right="0.7" top="0.75" bottom="0.75" header="0.3" footer="0.3"/>
  <pageSetup orientation="portrait" horizontalDpi="1200" verticalDpi="1200"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8D2166-0D63-423B-8897-ACFF6CB5B597}">
  <dimension ref="A1:A5"/>
  <sheetViews>
    <sheetView workbookViewId="0">
      <selection sqref="A1:A1048576"/>
    </sheetView>
  </sheetViews>
  <sheetFormatPr defaultRowHeight="15" x14ac:dyDescent="0.25"/>
  <sheetData>
    <row r="1" spans="1:1" x14ac:dyDescent="0.25">
      <c r="A1" t="s">
        <v>34</v>
      </c>
    </row>
    <row r="2" spans="1:1" x14ac:dyDescent="0.25">
      <c r="A2" t="s">
        <v>35</v>
      </c>
    </row>
    <row r="3" spans="1:1" x14ac:dyDescent="0.25">
      <c r="A3" t="s">
        <v>36</v>
      </c>
    </row>
    <row r="4" spans="1:1" x14ac:dyDescent="0.25">
      <c r="A4" t="s">
        <v>37</v>
      </c>
    </row>
    <row r="5" spans="1:1" x14ac:dyDescent="0.25">
      <c r="A5" t="s">
        <v>38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6B8F70-9C0E-430C-AC9A-2F92A013F2C8}">
  <dimension ref="A1:J117"/>
  <sheetViews>
    <sheetView workbookViewId="0">
      <selection activeCell="B97" sqref="B1:B1048576"/>
    </sheetView>
  </sheetViews>
  <sheetFormatPr defaultRowHeight="15" x14ac:dyDescent="0.25"/>
  <cols>
    <col min="1" max="1" width="6.85546875" customWidth="1"/>
    <col min="2" max="2" width="23.28515625" customWidth="1"/>
    <col min="3" max="3" width="6.7109375" customWidth="1"/>
    <col min="6" max="6" width="34" customWidth="1"/>
    <col min="8" max="8" width="11.140625" customWidth="1"/>
  </cols>
  <sheetData>
    <row r="1" spans="1:10" s="3" customFormat="1" ht="28.5" x14ac:dyDescent="0.45">
      <c r="A1" s="2" t="s">
        <v>312</v>
      </c>
    </row>
    <row r="2" spans="1:10" x14ac:dyDescent="0.25">
      <c r="A2" t="s">
        <v>159</v>
      </c>
      <c r="B2" t="s">
        <v>1</v>
      </c>
      <c r="C2" s="10">
        <v>210</v>
      </c>
      <c r="D2" t="s">
        <v>42</v>
      </c>
      <c r="E2" t="s">
        <v>201</v>
      </c>
      <c r="F2" t="s">
        <v>57</v>
      </c>
      <c r="G2" s="10"/>
      <c r="H2" t="s">
        <v>42</v>
      </c>
      <c r="I2" t="s">
        <v>317</v>
      </c>
    </row>
    <row r="3" spans="1:10" x14ac:dyDescent="0.25">
      <c r="E3" t="s">
        <v>207</v>
      </c>
      <c r="F3" t="s">
        <v>63</v>
      </c>
      <c r="G3">
        <v>240</v>
      </c>
      <c r="H3" t="s">
        <v>42</v>
      </c>
      <c r="I3" t="s">
        <v>318</v>
      </c>
      <c r="J3" t="s">
        <v>201</v>
      </c>
    </row>
    <row r="4" spans="1:10" x14ac:dyDescent="0.25">
      <c r="A4" t="s">
        <v>161</v>
      </c>
      <c r="B4" t="s">
        <v>3</v>
      </c>
      <c r="C4">
        <v>230</v>
      </c>
      <c r="D4" t="s">
        <v>42</v>
      </c>
      <c r="E4" t="s">
        <v>206</v>
      </c>
      <c r="F4" t="s">
        <v>62</v>
      </c>
      <c r="G4">
        <v>230</v>
      </c>
      <c r="H4" t="s">
        <v>305</v>
      </c>
      <c r="I4" t="s">
        <v>318</v>
      </c>
      <c r="J4" t="s">
        <v>201</v>
      </c>
    </row>
    <row r="5" spans="1:10" x14ac:dyDescent="0.25">
      <c r="A5" t="s">
        <v>160</v>
      </c>
      <c r="B5" t="s">
        <v>2</v>
      </c>
      <c r="C5" s="10" t="s">
        <v>40</v>
      </c>
      <c r="D5" t="s">
        <v>42</v>
      </c>
      <c r="E5" t="s">
        <v>202</v>
      </c>
      <c r="F5" t="s">
        <v>58</v>
      </c>
      <c r="G5" s="10">
        <v>220</v>
      </c>
      <c r="H5" t="s">
        <v>42</v>
      </c>
      <c r="I5" t="s">
        <v>317</v>
      </c>
    </row>
    <row r="6" spans="1:10" x14ac:dyDescent="0.25">
      <c r="E6" t="s">
        <v>203</v>
      </c>
      <c r="F6" t="s">
        <v>59</v>
      </c>
      <c r="G6">
        <v>221</v>
      </c>
      <c r="H6" t="s">
        <v>42</v>
      </c>
      <c r="I6" t="s">
        <v>318</v>
      </c>
      <c r="J6" t="s">
        <v>202</v>
      </c>
    </row>
    <row r="7" spans="1:10" x14ac:dyDescent="0.25">
      <c r="E7" t="s">
        <v>204</v>
      </c>
      <c r="F7" t="s">
        <v>60</v>
      </c>
      <c r="G7">
        <v>231</v>
      </c>
      <c r="H7" t="s">
        <v>42</v>
      </c>
      <c r="I7" t="s">
        <v>318</v>
      </c>
      <c r="J7" t="s">
        <v>202</v>
      </c>
    </row>
    <row r="8" spans="1:10" x14ac:dyDescent="0.25">
      <c r="A8" t="s">
        <v>162</v>
      </c>
      <c r="B8" t="s">
        <v>4</v>
      </c>
      <c r="C8" t="s">
        <v>40</v>
      </c>
      <c r="D8" t="s">
        <v>42</v>
      </c>
      <c r="I8" t="s">
        <v>318</v>
      </c>
      <c r="J8" t="s">
        <v>202</v>
      </c>
    </row>
    <row r="9" spans="1:10" x14ac:dyDescent="0.25">
      <c r="A9" t="s">
        <v>163</v>
      </c>
      <c r="B9" s="1" t="s">
        <v>5</v>
      </c>
      <c r="C9" t="s">
        <v>40</v>
      </c>
      <c r="D9" t="s">
        <v>42</v>
      </c>
      <c r="I9" t="s">
        <v>318</v>
      </c>
      <c r="J9" t="s">
        <v>202</v>
      </c>
    </row>
    <row r="10" spans="1:10" x14ac:dyDescent="0.25">
      <c r="A10" t="s">
        <v>164</v>
      </c>
      <c r="B10" s="1" t="s">
        <v>6</v>
      </c>
      <c r="C10" s="10" t="s">
        <v>40</v>
      </c>
      <c r="D10" t="s">
        <v>42</v>
      </c>
      <c r="E10" t="s">
        <v>208</v>
      </c>
      <c r="F10" t="s">
        <v>64</v>
      </c>
      <c r="G10" s="10">
        <v>252</v>
      </c>
      <c r="H10" t="s">
        <v>42</v>
      </c>
      <c r="I10" t="s">
        <v>317</v>
      </c>
    </row>
    <row r="11" spans="1:10" x14ac:dyDescent="0.25">
      <c r="A11" t="s">
        <v>165</v>
      </c>
      <c r="B11" s="1" t="s">
        <v>7</v>
      </c>
      <c r="C11" t="s">
        <v>40</v>
      </c>
      <c r="D11" t="s">
        <v>42</v>
      </c>
      <c r="I11" t="s">
        <v>318</v>
      </c>
      <c r="J11" t="s">
        <v>209</v>
      </c>
    </row>
    <row r="12" spans="1:10" x14ac:dyDescent="0.25">
      <c r="A12" t="s">
        <v>166</v>
      </c>
      <c r="B12" s="1" t="s">
        <v>8</v>
      </c>
      <c r="C12" s="10" t="s">
        <v>40</v>
      </c>
      <c r="D12" t="s">
        <v>42</v>
      </c>
      <c r="E12" t="s">
        <v>209</v>
      </c>
      <c r="F12" t="s">
        <v>65</v>
      </c>
      <c r="G12" s="10">
        <v>253</v>
      </c>
      <c r="H12" t="s">
        <v>42</v>
      </c>
      <c r="I12" t="s">
        <v>317</v>
      </c>
    </row>
    <row r="13" spans="1:10" x14ac:dyDescent="0.25">
      <c r="E13" t="s">
        <v>251</v>
      </c>
      <c r="F13" t="s">
        <v>107</v>
      </c>
      <c r="G13">
        <v>620</v>
      </c>
      <c r="H13" t="s">
        <v>44</v>
      </c>
      <c r="I13" t="s">
        <v>318</v>
      </c>
      <c r="J13" t="s">
        <v>209</v>
      </c>
    </row>
    <row r="16" spans="1:10" s="5" customFormat="1" ht="28.5" x14ac:dyDescent="0.45">
      <c r="A16" s="4" t="s">
        <v>313</v>
      </c>
    </row>
    <row r="17" spans="1:10" x14ac:dyDescent="0.25">
      <c r="A17" t="s">
        <v>167</v>
      </c>
      <c r="B17" t="s">
        <v>9</v>
      </c>
      <c r="C17">
        <v>310</v>
      </c>
      <c r="D17" t="s">
        <v>43</v>
      </c>
      <c r="E17" t="s">
        <v>211</v>
      </c>
      <c r="F17" t="s">
        <v>9</v>
      </c>
      <c r="G17">
        <v>310</v>
      </c>
      <c r="H17" t="s">
        <v>302</v>
      </c>
      <c r="I17" t="s">
        <v>317</v>
      </c>
    </row>
    <row r="18" spans="1:10" x14ac:dyDescent="0.25">
      <c r="E18" t="s">
        <v>212</v>
      </c>
      <c r="F18" t="s">
        <v>68</v>
      </c>
      <c r="G18">
        <v>311</v>
      </c>
      <c r="H18" t="s">
        <v>305</v>
      </c>
      <c r="I18" t="s">
        <v>318</v>
      </c>
      <c r="J18" t="s">
        <v>211</v>
      </c>
    </row>
    <row r="19" spans="1:10" x14ac:dyDescent="0.25">
      <c r="E19" t="s">
        <v>213</v>
      </c>
      <c r="F19" t="s">
        <v>69</v>
      </c>
      <c r="G19">
        <v>312</v>
      </c>
      <c r="H19" t="s">
        <v>302</v>
      </c>
      <c r="I19" t="s">
        <v>318</v>
      </c>
      <c r="J19" t="s">
        <v>211</v>
      </c>
    </row>
    <row r="20" spans="1:10" x14ac:dyDescent="0.25">
      <c r="E20" t="s">
        <v>215</v>
      </c>
      <c r="F20" t="s">
        <v>70</v>
      </c>
      <c r="G20">
        <v>330</v>
      </c>
      <c r="H20" t="s">
        <v>40</v>
      </c>
      <c r="I20" t="s">
        <v>318</v>
      </c>
      <c r="J20" t="s">
        <v>211</v>
      </c>
    </row>
    <row r="21" spans="1:10" x14ac:dyDescent="0.25">
      <c r="A21" t="s">
        <v>168</v>
      </c>
      <c r="B21" t="s">
        <v>10</v>
      </c>
      <c r="C21">
        <v>320</v>
      </c>
      <c r="D21" t="s">
        <v>43</v>
      </c>
      <c r="E21" t="s">
        <v>214</v>
      </c>
      <c r="F21" t="s">
        <v>10</v>
      </c>
      <c r="G21">
        <v>320</v>
      </c>
      <c r="H21" t="s">
        <v>302</v>
      </c>
      <c r="I21" t="s">
        <v>317</v>
      </c>
    </row>
    <row r="22" spans="1:10" x14ac:dyDescent="0.25">
      <c r="E22" t="s">
        <v>205</v>
      </c>
      <c r="F22" t="s">
        <v>61</v>
      </c>
      <c r="G22">
        <v>265</v>
      </c>
      <c r="H22" t="s">
        <v>42</v>
      </c>
      <c r="I22" t="s">
        <v>318</v>
      </c>
      <c r="J22" t="s">
        <v>211</v>
      </c>
    </row>
    <row r="23" spans="1:10" x14ac:dyDescent="0.25">
      <c r="E23" t="s">
        <v>210</v>
      </c>
      <c r="F23" t="s">
        <v>66</v>
      </c>
      <c r="G23" t="s">
        <v>67</v>
      </c>
      <c r="H23" t="s">
        <v>302</v>
      </c>
      <c r="I23" t="s">
        <v>318</v>
      </c>
      <c r="J23" t="s">
        <v>211</v>
      </c>
    </row>
    <row r="26" spans="1:10" s="9" customFormat="1" ht="28.5" x14ac:dyDescent="0.45">
      <c r="A26" s="8" t="s">
        <v>314</v>
      </c>
    </row>
    <row r="27" spans="1:10" x14ac:dyDescent="0.25">
      <c r="A27" t="s">
        <v>169</v>
      </c>
      <c r="B27" t="s">
        <v>11</v>
      </c>
      <c r="C27" s="10">
        <v>820</v>
      </c>
      <c r="D27" t="s">
        <v>44</v>
      </c>
      <c r="I27" t="s">
        <v>317</v>
      </c>
    </row>
    <row r="28" spans="1:10" x14ac:dyDescent="0.25">
      <c r="E28" t="s">
        <v>271</v>
      </c>
      <c r="F28" t="s">
        <v>128</v>
      </c>
      <c r="G28">
        <v>814</v>
      </c>
      <c r="H28" t="s">
        <v>302</v>
      </c>
      <c r="I28" t="s">
        <v>318</v>
      </c>
      <c r="J28" t="s">
        <v>169</v>
      </c>
    </row>
    <row r="29" spans="1:10" x14ac:dyDescent="0.25">
      <c r="E29" t="s">
        <v>272</v>
      </c>
      <c r="F29" t="s">
        <v>129</v>
      </c>
      <c r="G29">
        <v>816</v>
      </c>
      <c r="H29" t="s">
        <v>302</v>
      </c>
      <c r="I29" t="s">
        <v>318</v>
      </c>
      <c r="J29" t="s">
        <v>169</v>
      </c>
    </row>
    <row r="30" spans="1:10" x14ac:dyDescent="0.25">
      <c r="E30" t="s">
        <v>273</v>
      </c>
      <c r="F30" t="s">
        <v>130</v>
      </c>
      <c r="G30">
        <v>817</v>
      </c>
      <c r="H30" t="s">
        <v>44</v>
      </c>
      <c r="I30" t="s">
        <v>318</v>
      </c>
      <c r="J30" t="s">
        <v>169</v>
      </c>
    </row>
    <row r="31" spans="1:10" x14ac:dyDescent="0.25">
      <c r="E31" t="s">
        <v>275</v>
      </c>
      <c r="F31" t="s">
        <v>132</v>
      </c>
      <c r="G31">
        <v>820</v>
      </c>
      <c r="H31" t="s">
        <v>44</v>
      </c>
      <c r="I31" t="s">
        <v>318</v>
      </c>
      <c r="J31" t="s">
        <v>169</v>
      </c>
    </row>
    <row r="32" spans="1:10" x14ac:dyDescent="0.25">
      <c r="E32" t="s">
        <v>276</v>
      </c>
      <c r="F32" t="s">
        <v>133</v>
      </c>
      <c r="G32">
        <v>823</v>
      </c>
      <c r="H32" t="s">
        <v>44</v>
      </c>
      <c r="I32" t="s">
        <v>318</v>
      </c>
      <c r="J32" t="s">
        <v>169</v>
      </c>
    </row>
    <row r="33" spans="1:10" x14ac:dyDescent="0.25">
      <c r="E33" t="s">
        <v>289</v>
      </c>
      <c r="F33" t="s">
        <v>145</v>
      </c>
      <c r="G33">
        <v>876</v>
      </c>
      <c r="H33" t="s">
        <v>40</v>
      </c>
      <c r="I33" t="s">
        <v>318</v>
      </c>
      <c r="J33" t="s">
        <v>169</v>
      </c>
    </row>
    <row r="34" spans="1:10" x14ac:dyDescent="0.25">
      <c r="E34" t="s">
        <v>285</v>
      </c>
      <c r="F34" t="s">
        <v>141</v>
      </c>
      <c r="G34">
        <v>851</v>
      </c>
      <c r="H34" t="s">
        <v>44</v>
      </c>
      <c r="I34" t="s">
        <v>318</v>
      </c>
      <c r="J34" t="s">
        <v>169</v>
      </c>
    </row>
    <row r="35" spans="1:10" x14ac:dyDescent="0.25">
      <c r="A35" t="s">
        <v>170</v>
      </c>
      <c r="B35" t="s">
        <v>12</v>
      </c>
      <c r="C35">
        <v>890</v>
      </c>
      <c r="D35" t="s">
        <v>44</v>
      </c>
      <c r="E35" t="s">
        <v>292</v>
      </c>
      <c r="F35" t="s">
        <v>148</v>
      </c>
      <c r="G35">
        <v>890</v>
      </c>
      <c r="H35" t="s">
        <v>302</v>
      </c>
      <c r="I35" t="s">
        <v>317</v>
      </c>
    </row>
    <row r="36" spans="1:10" x14ac:dyDescent="0.25">
      <c r="A36" t="s">
        <v>171</v>
      </c>
      <c r="B36" t="s">
        <v>13</v>
      </c>
      <c r="C36">
        <v>880</v>
      </c>
      <c r="D36" t="s">
        <v>44</v>
      </c>
      <c r="E36" t="s">
        <v>290</v>
      </c>
      <c r="F36" t="s">
        <v>146</v>
      </c>
      <c r="G36">
        <v>880</v>
      </c>
      <c r="H36" t="s">
        <v>44</v>
      </c>
      <c r="I36" t="s">
        <v>317</v>
      </c>
    </row>
    <row r="37" spans="1:10" x14ac:dyDescent="0.25">
      <c r="A37" t="s">
        <v>172</v>
      </c>
      <c r="B37" t="s">
        <v>14</v>
      </c>
      <c r="C37">
        <v>850</v>
      </c>
      <c r="D37" t="s">
        <v>44</v>
      </c>
      <c r="E37" t="s">
        <v>283</v>
      </c>
      <c r="F37" t="s">
        <v>14</v>
      </c>
      <c r="G37">
        <v>850</v>
      </c>
      <c r="H37" t="s">
        <v>44</v>
      </c>
      <c r="I37" t="s">
        <v>317</v>
      </c>
    </row>
    <row r="38" spans="1:10" x14ac:dyDescent="0.25">
      <c r="E38" t="s">
        <v>284</v>
      </c>
      <c r="F38" t="s">
        <v>140</v>
      </c>
      <c r="G38">
        <v>854</v>
      </c>
      <c r="H38" t="s">
        <v>44</v>
      </c>
      <c r="I38" t="s">
        <v>318</v>
      </c>
      <c r="J38" t="s">
        <v>283</v>
      </c>
    </row>
    <row r="39" spans="1:10" x14ac:dyDescent="0.25">
      <c r="A39" t="s">
        <v>173</v>
      </c>
      <c r="B39" t="s">
        <v>15</v>
      </c>
      <c r="C39" s="10">
        <v>912</v>
      </c>
      <c r="D39" t="s">
        <v>44</v>
      </c>
      <c r="E39" t="s">
        <v>293</v>
      </c>
      <c r="F39" t="s">
        <v>149</v>
      </c>
      <c r="G39" s="10">
        <v>911</v>
      </c>
      <c r="H39" t="s">
        <v>40</v>
      </c>
      <c r="I39" t="s">
        <v>317</v>
      </c>
    </row>
    <row r="40" spans="1:10" x14ac:dyDescent="0.25">
      <c r="A40" t="s">
        <v>175</v>
      </c>
      <c r="B40" t="s">
        <v>17</v>
      </c>
      <c r="C40">
        <v>932</v>
      </c>
      <c r="D40" t="s">
        <v>44</v>
      </c>
      <c r="E40" t="s">
        <v>298</v>
      </c>
      <c r="F40" t="s">
        <v>154</v>
      </c>
      <c r="G40">
        <v>932</v>
      </c>
      <c r="H40" t="s">
        <v>44</v>
      </c>
      <c r="I40" t="s">
        <v>317</v>
      </c>
    </row>
    <row r="41" spans="1:10" x14ac:dyDescent="0.25">
      <c r="A41" t="s">
        <v>176</v>
      </c>
      <c r="B41" t="s">
        <v>18</v>
      </c>
      <c r="C41" s="10">
        <v>932</v>
      </c>
      <c r="D41" t="s">
        <v>44</v>
      </c>
      <c r="E41" t="s">
        <v>299</v>
      </c>
      <c r="F41" t="s">
        <v>155</v>
      </c>
      <c r="G41" s="10">
        <v>933</v>
      </c>
      <c r="H41" t="s">
        <v>44</v>
      </c>
      <c r="I41" t="s">
        <v>317</v>
      </c>
    </row>
    <row r="42" spans="1:10" x14ac:dyDescent="0.25">
      <c r="E42" t="s">
        <v>296</v>
      </c>
      <c r="F42" t="s">
        <v>152</v>
      </c>
      <c r="G42">
        <v>930</v>
      </c>
      <c r="H42" t="s">
        <v>40</v>
      </c>
      <c r="I42" t="s">
        <v>318</v>
      </c>
      <c r="J42" t="s">
        <v>299</v>
      </c>
    </row>
    <row r="43" spans="1:10" x14ac:dyDescent="0.25">
      <c r="E43" t="s">
        <v>300</v>
      </c>
      <c r="F43" t="s">
        <v>156</v>
      </c>
      <c r="G43">
        <v>936</v>
      </c>
      <c r="H43" t="s">
        <v>40</v>
      </c>
      <c r="I43" t="s">
        <v>318</v>
      </c>
      <c r="J43" t="s">
        <v>299</v>
      </c>
    </row>
    <row r="44" spans="1:10" x14ac:dyDescent="0.25">
      <c r="E44" t="s">
        <v>295</v>
      </c>
      <c r="F44" t="s">
        <v>151</v>
      </c>
      <c r="G44">
        <v>926</v>
      </c>
      <c r="H44" t="s">
        <v>40</v>
      </c>
      <c r="I44" t="s">
        <v>318</v>
      </c>
      <c r="J44" t="s">
        <v>299</v>
      </c>
    </row>
    <row r="45" spans="1:10" x14ac:dyDescent="0.25">
      <c r="A45" t="s">
        <v>177</v>
      </c>
      <c r="B45" t="s">
        <v>19</v>
      </c>
      <c r="C45">
        <v>931</v>
      </c>
      <c r="D45" t="s">
        <v>44</v>
      </c>
      <c r="E45" t="s">
        <v>297</v>
      </c>
      <c r="F45" t="s">
        <v>153</v>
      </c>
      <c r="G45">
        <v>931</v>
      </c>
      <c r="H45" t="s">
        <v>44</v>
      </c>
      <c r="I45" t="s">
        <v>317</v>
      </c>
    </row>
    <row r="46" spans="1:10" x14ac:dyDescent="0.25">
      <c r="E46" t="s">
        <v>294</v>
      </c>
      <c r="F46" t="s">
        <v>150</v>
      </c>
      <c r="G46">
        <v>925</v>
      </c>
      <c r="H46" t="s">
        <v>40</v>
      </c>
      <c r="I46" t="s">
        <v>317</v>
      </c>
    </row>
    <row r="47" spans="1:10" x14ac:dyDescent="0.25">
      <c r="A47" t="s">
        <v>178</v>
      </c>
      <c r="B47" t="s">
        <v>20</v>
      </c>
      <c r="C47" s="10">
        <v>942</v>
      </c>
      <c r="D47" t="s">
        <v>44</v>
      </c>
      <c r="E47" t="s">
        <v>280</v>
      </c>
      <c r="F47" t="s">
        <v>137</v>
      </c>
      <c r="G47" s="10">
        <v>943</v>
      </c>
      <c r="H47" t="s">
        <v>44</v>
      </c>
      <c r="I47" t="s">
        <v>317</v>
      </c>
    </row>
    <row r="48" spans="1:10" x14ac:dyDescent="0.25">
      <c r="E48" t="s">
        <v>281</v>
      </c>
      <c r="F48" t="s">
        <v>138</v>
      </c>
      <c r="G48">
        <v>848</v>
      </c>
      <c r="H48" t="s">
        <v>44</v>
      </c>
      <c r="I48" t="s">
        <v>318</v>
      </c>
      <c r="J48" t="s">
        <v>280</v>
      </c>
    </row>
    <row r="49" spans="1:10" x14ac:dyDescent="0.25">
      <c r="E49" t="s">
        <v>282</v>
      </c>
      <c r="F49" t="s">
        <v>139</v>
      </c>
      <c r="G49">
        <v>849</v>
      </c>
      <c r="H49" t="s">
        <v>310</v>
      </c>
      <c r="I49" t="s">
        <v>318</v>
      </c>
      <c r="J49" t="s">
        <v>280</v>
      </c>
    </row>
    <row r="50" spans="1:10" x14ac:dyDescent="0.25">
      <c r="A50" t="s">
        <v>179</v>
      </c>
      <c r="B50" t="s">
        <v>21</v>
      </c>
      <c r="C50" s="10">
        <v>862</v>
      </c>
      <c r="D50" t="s">
        <v>44</v>
      </c>
      <c r="E50" t="s">
        <v>268</v>
      </c>
      <c r="F50" t="s">
        <v>125</v>
      </c>
      <c r="G50" s="10">
        <v>812</v>
      </c>
      <c r="H50" t="s">
        <v>44</v>
      </c>
      <c r="I50" t="s">
        <v>317</v>
      </c>
    </row>
    <row r="51" spans="1:10" x14ac:dyDescent="0.25">
      <c r="A51" t="s">
        <v>180</v>
      </c>
      <c r="B51" t="s">
        <v>22</v>
      </c>
      <c r="C51">
        <v>813</v>
      </c>
      <c r="D51" t="s">
        <v>44</v>
      </c>
      <c r="E51" t="s">
        <v>269</v>
      </c>
      <c r="F51" t="s">
        <v>126</v>
      </c>
      <c r="G51">
        <v>813</v>
      </c>
      <c r="H51" t="s">
        <v>44</v>
      </c>
      <c r="I51" t="s">
        <v>318</v>
      </c>
      <c r="J51" t="s">
        <v>270</v>
      </c>
    </row>
    <row r="52" spans="1:10" x14ac:dyDescent="0.25">
      <c r="E52" t="s">
        <v>270</v>
      </c>
      <c r="F52" t="s">
        <v>127</v>
      </c>
      <c r="G52">
        <v>815</v>
      </c>
      <c r="H52" t="s">
        <v>44</v>
      </c>
      <c r="I52" t="s">
        <v>317</v>
      </c>
    </row>
    <row r="53" spans="1:10" x14ac:dyDescent="0.25">
      <c r="A53" t="s">
        <v>182</v>
      </c>
      <c r="B53" t="s">
        <v>24</v>
      </c>
      <c r="C53">
        <v>710</v>
      </c>
      <c r="D53" t="s">
        <v>44</v>
      </c>
      <c r="E53" t="s">
        <v>254</v>
      </c>
      <c r="F53" t="s">
        <v>110</v>
      </c>
      <c r="G53">
        <v>710</v>
      </c>
      <c r="H53" t="s">
        <v>44</v>
      </c>
      <c r="I53" t="s">
        <v>317</v>
      </c>
    </row>
    <row r="54" spans="1:10" x14ac:dyDescent="0.25">
      <c r="E54" t="s">
        <v>255</v>
      </c>
      <c r="F54" t="s">
        <v>111</v>
      </c>
      <c r="G54">
        <v>712</v>
      </c>
      <c r="H54" t="s">
        <v>44</v>
      </c>
      <c r="I54" t="s">
        <v>318</v>
      </c>
      <c r="J54" t="s">
        <v>254</v>
      </c>
    </row>
    <row r="55" spans="1:10" x14ac:dyDescent="0.25">
      <c r="E55" t="s">
        <v>256</v>
      </c>
      <c r="F55" t="s">
        <v>112</v>
      </c>
      <c r="G55">
        <v>714</v>
      </c>
      <c r="H55" t="s">
        <v>44</v>
      </c>
      <c r="I55" t="s">
        <v>318</v>
      </c>
      <c r="J55" t="s">
        <v>254</v>
      </c>
    </row>
    <row r="56" spans="1:10" x14ac:dyDescent="0.25">
      <c r="E56" t="s">
        <v>257</v>
      </c>
      <c r="F56" t="s">
        <v>113</v>
      </c>
      <c r="G56">
        <v>715</v>
      </c>
      <c r="H56" t="s">
        <v>44</v>
      </c>
      <c r="I56" t="s">
        <v>318</v>
      </c>
      <c r="J56" t="s">
        <v>254</v>
      </c>
    </row>
    <row r="57" spans="1:10" x14ac:dyDescent="0.25">
      <c r="E57" t="s">
        <v>263</v>
      </c>
      <c r="F57" t="s">
        <v>119</v>
      </c>
      <c r="G57">
        <v>760</v>
      </c>
      <c r="H57" t="s">
        <v>44</v>
      </c>
      <c r="I57" t="s">
        <v>318</v>
      </c>
      <c r="J57" t="s">
        <v>254</v>
      </c>
    </row>
    <row r="58" spans="1:10" x14ac:dyDescent="0.25">
      <c r="E58" t="s">
        <v>264</v>
      </c>
      <c r="F58" t="s">
        <v>120</v>
      </c>
      <c r="G58">
        <v>770</v>
      </c>
      <c r="H58" t="s">
        <v>44</v>
      </c>
      <c r="I58" t="s">
        <v>318</v>
      </c>
      <c r="J58" t="s">
        <v>254</v>
      </c>
    </row>
    <row r="59" spans="1:10" x14ac:dyDescent="0.25">
      <c r="A59" t="s">
        <v>183</v>
      </c>
      <c r="B59" t="s">
        <v>25</v>
      </c>
      <c r="C59">
        <v>720</v>
      </c>
      <c r="D59" t="s">
        <v>44</v>
      </c>
      <c r="E59" t="s">
        <v>258</v>
      </c>
      <c r="F59" t="s">
        <v>114</v>
      </c>
      <c r="G59">
        <v>720</v>
      </c>
      <c r="H59" t="s">
        <v>44</v>
      </c>
      <c r="I59" t="s">
        <v>317</v>
      </c>
    </row>
    <row r="60" spans="1:10" x14ac:dyDescent="0.25">
      <c r="E60" t="s">
        <v>252</v>
      </c>
      <c r="F60" t="s">
        <v>108</v>
      </c>
      <c r="G60">
        <v>630</v>
      </c>
      <c r="H60" t="s">
        <v>44</v>
      </c>
      <c r="I60" t="s">
        <v>318</v>
      </c>
      <c r="J60" t="s">
        <v>258</v>
      </c>
    </row>
    <row r="61" spans="1:10" x14ac:dyDescent="0.25">
      <c r="E61" t="s">
        <v>253</v>
      </c>
      <c r="F61" t="s">
        <v>109</v>
      </c>
      <c r="G61">
        <v>640</v>
      </c>
      <c r="H61" t="s">
        <v>44</v>
      </c>
      <c r="I61" t="s">
        <v>318</v>
      </c>
      <c r="J61" t="s">
        <v>258</v>
      </c>
    </row>
    <row r="62" spans="1:10" x14ac:dyDescent="0.25">
      <c r="A62" t="s">
        <v>184</v>
      </c>
      <c r="B62" t="s">
        <v>26</v>
      </c>
      <c r="C62">
        <v>110</v>
      </c>
      <c r="D62" t="s">
        <v>44</v>
      </c>
      <c r="I62" t="s">
        <v>317</v>
      </c>
    </row>
    <row r="63" spans="1:10" x14ac:dyDescent="0.25">
      <c r="A63" t="s">
        <v>185</v>
      </c>
      <c r="B63" t="s">
        <v>27</v>
      </c>
      <c r="C63">
        <v>140</v>
      </c>
      <c r="D63" t="s">
        <v>44</v>
      </c>
      <c r="I63" t="s">
        <v>318</v>
      </c>
      <c r="J63" t="s">
        <v>184</v>
      </c>
    </row>
    <row r="64" spans="1:10" x14ac:dyDescent="0.25">
      <c r="A64" t="s">
        <v>186</v>
      </c>
      <c r="B64" t="s">
        <v>28</v>
      </c>
      <c r="C64">
        <v>151</v>
      </c>
      <c r="D64" t="s">
        <v>44</v>
      </c>
      <c r="I64" t="s">
        <v>317</v>
      </c>
    </row>
    <row r="65" spans="1:10" x14ac:dyDescent="0.25">
      <c r="E65" t="s">
        <v>265</v>
      </c>
      <c r="F65" t="s">
        <v>121</v>
      </c>
      <c r="G65">
        <v>811</v>
      </c>
      <c r="H65" t="s">
        <v>40</v>
      </c>
      <c r="I65" t="s">
        <v>318</v>
      </c>
      <c r="J65" t="s">
        <v>268</v>
      </c>
    </row>
    <row r="66" spans="1:10" x14ac:dyDescent="0.25">
      <c r="E66" t="s">
        <v>266</v>
      </c>
      <c r="F66" t="s">
        <v>122</v>
      </c>
      <c r="H66" t="s">
        <v>40</v>
      </c>
      <c r="I66" t="s">
        <v>317</v>
      </c>
    </row>
    <row r="67" spans="1:10" x14ac:dyDescent="0.25">
      <c r="E67" t="s">
        <v>267</v>
      </c>
      <c r="F67" t="s">
        <v>123</v>
      </c>
      <c r="H67" t="s">
        <v>40</v>
      </c>
      <c r="I67" t="s">
        <v>317</v>
      </c>
    </row>
    <row r="68" spans="1:10" x14ac:dyDescent="0.25">
      <c r="E68" t="s">
        <v>277</v>
      </c>
      <c r="F68" t="s">
        <v>134</v>
      </c>
      <c r="G68">
        <v>840</v>
      </c>
      <c r="H68" t="s">
        <v>44</v>
      </c>
      <c r="I68" t="s">
        <v>317</v>
      </c>
    </row>
    <row r="69" spans="1:10" x14ac:dyDescent="0.25">
      <c r="E69" t="s">
        <v>278</v>
      </c>
      <c r="F69" t="s">
        <v>135</v>
      </c>
      <c r="G69">
        <v>841</v>
      </c>
      <c r="H69" t="s">
        <v>44</v>
      </c>
      <c r="I69" t="s">
        <v>318</v>
      </c>
      <c r="J69" t="s">
        <v>319</v>
      </c>
    </row>
    <row r="70" spans="1:10" x14ac:dyDescent="0.25">
      <c r="E70" t="s">
        <v>279</v>
      </c>
      <c r="F70" t="s">
        <v>136</v>
      </c>
      <c r="G70">
        <v>843</v>
      </c>
      <c r="H70" t="s">
        <v>44</v>
      </c>
      <c r="I70" t="s">
        <v>318</v>
      </c>
      <c r="J70" t="s">
        <v>169</v>
      </c>
    </row>
    <row r="71" spans="1:10" x14ac:dyDescent="0.25">
      <c r="E71" t="s">
        <v>286</v>
      </c>
      <c r="F71" t="s">
        <v>142</v>
      </c>
      <c r="G71">
        <v>944</v>
      </c>
      <c r="H71" t="s">
        <v>44</v>
      </c>
      <c r="I71" t="s">
        <v>318</v>
      </c>
      <c r="J71" t="s">
        <v>169</v>
      </c>
    </row>
    <row r="72" spans="1:10" x14ac:dyDescent="0.25">
      <c r="E72" t="s">
        <v>287</v>
      </c>
      <c r="F72" t="s">
        <v>143</v>
      </c>
      <c r="G72">
        <v>945</v>
      </c>
      <c r="H72" t="s">
        <v>44</v>
      </c>
      <c r="I72" t="s">
        <v>318</v>
      </c>
      <c r="J72" t="s">
        <v>169</v>
      </c>
    </row>
    <row r="73" spans="1:10" x14ac:dyDescent="0.25">
      <c r="E73" t="s">
        <v>288</v>
      </c>
      <c r="F73" t="s">
        <v>144</v>
      </c>
      <c r="G73">
        <v>947</v>
      </c>
      <c r="H73" t="s">
        <v>40</v>
      </c>
      <c r="I73" t="s">
        <v>318</v>
      </c>
      <c r="J73" t="s">
        <v>320</v>
      </c>
    </row>
    <row r="74" spans="1:10" x14ac:dyDescent="0.25">
      <c r="E74" t="s">
        <v>291</v>
      </c>
      <c r="F74" t="s">
        <v>147</v>
      </c>
      <c r="G74">
        <v>882</v>
      </c>
      <c r="H74" t="s">
        <v>44</v>
      </c>
      <c r="I74" t="s">
        <v>318</v>
      </c>
      <c r="J74" t="s">
        <v>320</v>
      </c>
    </row>
    <row r="77" spans="1:10" s="7" customFormat="1" ht="28.5" x14ac:dyDescent="0.45">
      <c r="A77" s="6" t="s">
        <v>315</v>
      </c>
    </row>
    <row r="78" spans="1:10" x14ac:dyDescent="0.25">
      <c r="E78" t="s">
        <v>216</v>
      </c>
      <c r="F78" t="s">
        <v>71</v>
      </c>
      <c r="H78" t="s">
        <v>40</v>
      </c>
      <c r="I78" t="s">
        <v>317</v>
      </c>
    </row>
    <row r="79" spans="1:10" x14ac:dyDescent="0.25">
      <c r="E79" t="s">
        <v>217</v>
      </c>
      <c r="F79" t="s">
        <v>72</v>
      </c>
      <c r="G79" t="s">
        <v>77</v>
      </c>
      <c r="H79" t="s">
        <v>40</v>
      </c>
      <c r="I79" t="s">
        <v>321</v>
      </c>
      <c r="J79" t="s">
        <v>322</v>
      </c>
    </row>
    <row r="80" spans="1:10" x14ac:dyDescent="0.25">
      <c r="E80" t="s">
        <v>218</v>
      </c>
      <c r="F80" t="s">
        <v>73</v>
      </c>
      <c r="G80" t="s">
        <v>77</v>
      </c>
      <c r="H80" t="s">
        <v>40</v>
      </c>
      <c r="I80" t="s">
        <v>321</v>
      </c>
      <c r="J80" t="s">
        <v>322</v>
      </c>
    </row>
    <row r="81" spans="1:10" x14ac:dyDescent="0.25">
      <c r="E81" t="s">
        <v>219</v>
      </c>
      <c r="F81" t="s">
        <v>74</v>
      </c>
      <c r="G81" t="s">
        <v>77</v>
      </c>
      <c r="H81" t="s">
        <v>40</v>
      </c>
      <c r="I81" t="s">
        <v>321</v>
      </c>
      <c r="J81" t="s">
        <v>322</v>
      </c>
    </row>
    <row r="82" spans="1:10" x14ac:dyDescent="0.25">
      <c r="E82" t="s">
        <v>220</v>
      </c>
      <c r="F82" t="s">
        <v>75</v>
      </c>
      <c r="G82" t="s">
        <v>77</v>
      </c>
      <c r="H82" t="s">
        <v>40</v>
      </c>
      <c r="I82" t="s">
        <v>318</v>
      </c>
      <c r="J82" t="s">
        <v>223</v>
      </c>
    </row>
    <row r="83" spans="1:10" x14ac:dyDescent="0.25">
      <c r="E83" t="s">
        <v>221</v>
      </c>
      <c r="F83" t="s">
        <v>76</v>
      </c>
      <c r="G83" t="s">
        <v>77</v>
      </c>
      <c r="H83" t="s">
        <v>40</v>
      </c>
      <c r="I83" t="s">
        <v>317</v>
      </c>
    </row>
    <row r="84" spans="1:10" x14ac:dyDescent="0.25">
      <c r="E84" t="s">
        <v>222</v>
      </c>
      <c r="F84" t="s">
        <v>78</v>
      </c>
      <c r="G84">
        <v>411</v>
      </c>
      <c r="H84" t="s">
        <v>306</v>
      </c>
      <c r="I84" t="s">
        <v>317</v>
      </c>
    </row>
    <row r="85" spans="1:10" x14ac:dyDescent="0.25">
      <c r="E85" t="s">
        <v>223</v>
      </c>
      <c r="F85" t="s">
        <v>79</v>
      </c>
      <c r="G85">
        <v>416</v>
      </c>
      <c r="H85" t="s">
        <v>40</v>
      </c>
      <c r="I85" t="s">
        <v>317</v>
      </c>
    </row>
    <row r="86" spans="1:10" x14ac:dyDescent="0.25">
      <c r="E86" t="s">
        <v>224</v>
      </c>
      <c r="F86" t="s">
        <v>80</v>
      </c>
      <c r="H86" t="s">
        <v>40</v>
      </c>
      <c r="I86" t="s">
        <v>317</v>
      </c>
    </row>
    <row r="87" spans="1:10" x14ac:dyDescent="0.25">
      <c r="E87" t="s">
        <v>225</v>
      </c>
      <c r="F87" t="s">
        <v>81</v>
      </c>
      <c r="G87">
        <v>30</v>
      </c>
      <c r="H87" t="s">
        <v>307</v>
      </c>
      <c r="I87" t="s">
        <v>317</v>
      </c>
    </row>
    <row r="88" spans="1:10" x14ac:dyDescent="0.25">
      <c r="E88" t="s">
        <v>226</v>
      </c>
      <c r="F88" t="s">
        <v>82</v>
      </c>
      <c r="G88">
        <v>437</v>
      </c>
      <c r="H88" t="s">
        <v>40</v>
      </c>
      <c r="I88" t="s">
        <v>317</v>
      </c>
    </row>
    <row r="89" spans="1:10" x14ac:dyDescent="0.25">
      <c r="A89" t="s">
        <v>181</v>
      </c>
      <c r="B89" t="s">
        <v>23</v>
      </c>
      <c r="C89">
        <v>444</v>
      </c>
      <c r="D89" t="s">
        <v>45</v>
      </c>
      <c r="E89" t="s">
        <v>227</v>
      </c>
      <c r="F89" t="s">
        <v>83</v>
      </c>
      <c r="G89">
        <v>444</v>
      </c>
      <c r="H89" t="s">
        <v>40</v>
      </c>
      <c r="I89" t="s">
        <v>317</v>
      </c>
    </row>
    <row r="90" spans="1:10" x14ac:dyDescent="0.25">
      <c r="E90" t="s">
        <v>228</v>
      </c>
      <c r="F90" t="s">
        <v>84</v>
      </c>
      <c r="G90">
        <v>445</v>
      </c>
      <c r="H90" t="s">
        <v>40</v>
      </c>
      <c r="I90" t="s">
        <v>318</v>
      </c>
      <c r="J90" t="s">
        <v>323</v>
      </c>
    </row>
    <row r="91" spans="1:10" x14ac:dyDescent="0.25">
      <c r="E91" t="s">
        <v>229</v>
      </c>
      <c r="F91" t="s">
        <v>85</v>
      </c>
      <c r="G91">
        <v>465</v>
      </c>
      <c r="H91" t="s">
        <v>40</v>
      </c>
      <c r="I91" t="s">
        <v>321</v>
      </c>
      <c r="J91" t="s">
        <v>322</v>
      </c>
    </row>
    <row r="92" spans="1:10" x14ac:dyDescent="0.25">
      <c r="E92" t="s">
        <v>230</v>
      </c>
      <c r="F92" t="s">
        <v>86</v>
      </c>
      <c r="H92" t="s">
        <v>40</v>
      </c>
      <c r="I92" t="s">
        <v>318</v>
      </c>
      <c r="J92" t="s">
        <v>234</v>
      </c>
    </row>
    <row r="93" spans="1:10" x14ac:dyDescent="0.25">
      <c r="E93" t="s">
        <v>231</v>
      </c>
      <c r="F93" t="s">
        <v>87</v>
      </c>
      <c r="G93">
        <v>490</v>
      </c>
      <c r="H93" t="s">
        <v>308</v>
      </c>
      <c r="I93" t="s">
        <v>321</v>
      </c>
      <c r="J93" t="s">
        <v>322</v>
      </c>
    </row>
    <row r="94" spans="1:10" x14ac:dyDescent="0.25">
      <c r="A94" t="s">
        <v>174</v>
      </c>
      <c r="B94" t="s">
        <v>16</v>
      </c>
      <c r="C94">
        <v>492</v>
      </c>
      <c r="D94" t="s">
        <v>44</v>
      </c>
      <c r="E94" t="s">
        <v>232</v>
      </c>
      <c r="F94" t="s">
        <v>88</v>
      </c>
      <c r="G94">
        <v>492</v>
      </c>
      <c r="H94" t="s">
        <v>40</v>
      </c>
      <c r="I94" t="s">
        <v>317</v>
      </c>
    </row>
    <row r="95" spans="1:10" x14ac:dyDescent="0.25">
      <c r="E95" t="s">
        <v>233</v>
      </c>
      <c r="F95" t="s">
        <v>89</v>
      </c>
      <c r="G95">
        <v>493</v>
      </c>
      <c r="H95" t="s">
        <v>40</v>
      </c>
      <c r="I95" t="s">
        <v>318</v>
      </c>
      <c r="J95" t="s">
        <v>232</v>
      </c>
    </row>
    <row r="96" spans="1:10" x14ac:dyDescent="0.25">
      <c r="E96" t="s">
        <v>234</v>
      </c>
      <c r="F96" t="s">
        <v>90</v>
      </c>
      <c r="G96">
        <v>495</v>
      </c>
      <c r="H96" t="s">
        <v>44</v>
      </c>
      <c r="I96" t="s">
        <v>317</v>
      </c>
    </row>
    <row r="97" spans="1:10" s="15" customFormat="1" ht="28.5" x14ac:dyDescent="0.45">
      <c r="A97" s="16" t="s">
        <v>316</v>
      </c>
    </row>
    <row r="98" spans="1:10" x14ac:dyDescent="0.25">
      <c r="A98" t="s">
        <v>187</v>
      </c>
      <c r="B98" t="s">
        <v>29</v>
      </c>
      <c r="C98">
        <v>550</v>
      </c>
      <c r="D98" t="s">
        <v>46</v>
      </c>
      <c r="E98" t="s">
        <v>243</v>
      </c>
      <c r="F98" t="s">
        <v>99</v>
      </c>
      <c r="G98">
        <v>550</v>
      </c>
      <c r="H98" t="s">
        <v>309</v>
      </c>
      <c r="I98" t="s">
        <v>317</v>
      </c>
    </row>
    <row r="99" spans="1:10" x14ac:dyDescent="0.25">
      <c r="A99" t="s">
        <v>188</v>
      </c>
      <c r="B99" t="s">
        <v>30</v>
      </c>
      <c r="C99">
        <v>530</v>
      </c>
      <c r="D99" t="s">
        <v>46</v>
      </c>
      <c r="E99" t="s">
        <v>237</v>
      </c>
      <c r="F99" t="s">
        <v>93</v>
      </c>
      <c r="G99">
        <v>530</v>
      </c>
      <c r="H99" t="s">
        <v>302</v>
      </c>
      <c r="I99" t="s">
        <v>317</v>
      </c>
    </row>
    <row r="100" spans="1:10" x14ac:dyDescent="0.25">
      <c r="A100" t="s">
        <v>189</v>
      </c>
      <c r="B100" t="s">
        <v>31</v>
      </c>
      <c r="C100">
        <v>522</v>
      </c>
      <c r="D100" t="s">
        <v>46</v>
      </c>
      <c r="E100" t="s">
        <v>236</v>
      </c>
      <c r="F100" t="s">
        <v>92</v>
      </c>
      <c r="G100">
        <v>522</v>
      </c>
      <c r="H100" t="s">
        <v>302</v>
      </c>
      <c r="I100" t="s">
        <v>317</v>
      </c>
    </row>
    <row r="101" spans="1:10" x14ac:dyDescent="0.25">
      <c r="A101" t="s">
        <v>190</v>
      </c>
      <c r="B101" t="s">
        <v>32</v>
      </c>
      <c r="C101">
        <v>520</v>
      </c>
      <c r="D101" t="s">
        <v>46</v>
      </c>
      <c r="E101" t="s">
        <v>235</v>
      </c>
      <c r="F101" t="s">
        <v>91</v>
      </c>
      <c r="G101">
        <v>520</v>
      </c>
      <c r="H101" t="s">
        <v>302</v>
      </c>
      <c r="I101" t="s">
        <v>317</v>
      </c>
    </row>
    <row r="102" spans="1:10" x14ac:dyDescent="0.25">
      <c r="E102" t="s">
        <v>240</v>
      </c>
      <c r="F102" t="s">
        <v>96</v>
      </c>
      <c r="G102">
        <v>537</v>
      </c>
      <c r="H102" t="s">
        <v>40</v>
      </c>
      <c r="I102" t="s">
        <v>318</v>
      </c>
      <c r="J102" t="s">
        <v>235</v>
      </c>
    </row>
    <row r="103" spans="1:10" x14ac:dyDescent="0.25">
      <c r="E103" t="s">
        <v>238</v>
      </c>
      <c r="F103" t="s">
        <v>94</v>
      </c>
      <c r="G103">
        <v>534</v>
      </c>
      <c r="H103" t="s">
        <v>40</v>
      </c>
      <c r="I103" t="s">
        <v>318</v>
      </c>
      <c r="J103" t="s">
        <v>239</v>
      </c>
    </row>
    <row r="104" spans="1:10" x14ac:dyDescent="0.25">
      <c r="A104" t="s">
        <v>191</v>
      </c>
      <c r="B104" t="s">
        <v>33</v>
      </c>
      <c r="C104" s="10">
        <v>534</v>
      </c>
      <c r="D104" t="s">
        <v>46</v>
      </c>
      <c r="E104" t="s">
        <v>239</v>
      </c>
      <c r="F104" t="s">
        <v>95</v>
      </c>
      <c r="G104" s="10">
        <v>536</v>
      </c>
      <c r="H104" t="s">
        <v>302</v>
      </c>
      <c r="I104" t="s">
        <v>317</v>
      </c>
    </row>
    <row r="105" spans="1:10" x14ac:dyDescent="0.25">
      <c r="E105" t="s">
        <v>241</v>
      </c>
      <c r="F105" t="s">
        <v>97</v>
      </c>
      <c r="G105">
        <v>538</v>
      </c>
      <c r="H105" t="s">
        <v>44</v>
      </c>
      <c r="I105" t="s">
        <v>318</v>
      </c>
      <c r="J105" t="s">
        <v>254</v>
      </c>
    </row>
    <row r="106" spans="1:10" x14ac:dyDescent="0.25">
      <c r="E106" t="s">
        <v>242</v>
      </c>
      <c r="F106" t="s">
        <v>98</v>
      </c>
      <c r="G106">
        <v>540</v>
      </c>
      <c r="H106" t="s">
        <v>309</v>
      </c>
      <c r="I106" t="s">
        <v>318</v>
      </c>
      <c r="J106" t="s">
        <v>243</v>
      </c>
    </row>
    <row r="107" spans="1:10" x14ac:dyDescent="0.25">
      <c r="E107" t="s">
        <v>244</v>
      </c>
      <c r="F107" t="s">
        <v>100</v>
      </c>
      <c r="G107">
        <v>560</v>
      </c>
      <c r="H107" t="s">
        <v>44</v>
      </c>
      <c r="I107" t="s">
        <v>317</v>
      </c>
    </row>
    <row r="108" spans="1:10" x14ac:dyDescent="0.25">
      <c r="E108" t="s">
        <v>245</v>
      </c>
      <c r="F108" t="s">
        <v>101</v>
      </c>
      <c r="G108">
        <v>561</v>
      </c>
      <c r="H108" t="s">
        <v>40</v>
      </c>
      <c r="I108" t="s">
        <v>318</v>
      </c>
      <c r="J108" t="s">
        <v>244</v>
      </c>
    </row>
    <row r="109" spans="1:10" x14ac:dyDescent="0.25">
      <c r="E109" t="s">
        <v>246</v>
      </c>
      <c r="F109" t="s">
        <v>102</v>
      </c>
      <c r="G109">
        <v>562</v>
      </c>
      <c r="H109" t="s">
        <v>40</v>
      </c>
      <c r="I109" t="s">
        <v>318</v>
      </c>
      <c r="J109" t="s">
        <v>244</v>
      </c>
    </row>
    <row r="110" spans="1:10" x14ac:dyDescent="0.25">
      <c r="E110" t="s">
        <v>247</v>
      </c>
      <c r="F110" t="s">
        <v>103</v>
      </c>
      <c r="G110">
        <v>565</v>
      </c>
      <c r="H110" t="s">
        <v>44</v>
      </c>
      <c r="I110" t="s">
        <v>317</v>
      </c>
    </row>
    <row r="111" spans="1:10" x14ac:dyDescent="0.25">
      <c r="E111" t="s">
        <v>248</v>
      </c>
      <c r="F111" t="s">
        <v>104</v>
      </c>
      <c r="G111">
        <v>566</v>
      </c>
      <c r="H111" t="s">
        <v>302</v>
      </c>
      <c r="I111" t="s">
        <v>324</v>
      </c>
    </row>
    <row r="112" spans="1:10" x14ac:dyDescent="0.25">
      <c r="E112" t="s">
        <v>249</v>
      </c>
      <c r="F112" t="s">
        <v>105</v>
      </c>
      <c r="G112">
        <v>590</v>
      </c>
      <c r="H112" t="s">
        <v>44</v>
      </c>
      <c r="I112" t="s">
        <v>317</v>
      </c>
    </row>
    <row r="113" spans="5:10" x14ac:dyDescent="0.25">
      <c r="E113" t="s">
        <v>250</v>
      </c>
      <c r="F113" t="s">
        <v>106</v>
      </c>
      <c r="G113">
        <v>610</v>
      </c>
      <c r="H113" t="s">
        <v>44</v>
      </c>
      <c r="I113" t="s">
        <v>317</v>
      </c>
    </row>
    <row r="114" spans="5:10" x14ac:dyDescent="0.25">
      <c r="E114" t="s">
        <v>259</v>
      </c>
      <c r="F114" t="s">
        <v>115</v>
      </c>
      <c r="G114">
        <v>730</v>
      </c>
      <c r="H114" t="s">
        <v>44</v>
      </c>
      <c r="I114" t="s">
        <v>318</v>
      </c>
      <c r="J114" t="s">
        <v>254</v>
      </c>
    </row>
    <row r="115" spans="5:10" x14ac:dyDescent="0.25">
      <c r="E115" t="s">
        <v>260</v>
      </c>
      <c r="F115" t="s">
        <v>116</v>
      </c>
      <c r="G115">
        <v>731</v>
      </c>
      <c r="H115" t="s">
        <v>40</v>
      </c>
      <c r="I115" t="s">
        <v>318</v>
      </c>
      <c r="J115" t="s">
        <v>254</v>
      </c>
    </row>
    <row r="116" spans="5:10" x14ac:dyDescent="0.25">
      <c r="E116" t="s">
        <v>261</v>
      </c>
      <c r="F116" t="s">
        <v>117</v>
      </c>
      <c r="G116">
        <v>732</v>
      </c>
      <c r="H116" t="s">
        <v>44</v>
      </c>
      <c r="I116" t="s">
        <v>318</v>
      </c>
      <c r="J116" t="s">
        <v>254</v>
      </c>
    </row>
    <row r="117" spans="5:10" x14ac:dyDescent="0.25">
      <c r="E117" t="s">
        <v>262</v>
      </c>
      <c r="F117" t="s">
        <v>118</v>
      </c>
      <c r="G117">
        <v>733</v>
      </c>
      <c r="H117" t="s">
        <v>40</v>
      </c>
      <c r="I117" t="s">
        <v>318</v>
      </c>
      <c r="J117" t="s">
        <v>254</v>
      </c>
    </row>
  </sheetData>
  <pageMargins left="0.7" right="0.7" top="0.75" bottom="0.75" header="0.3" footer="0.3"/>
  <pageSetup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DCBC4-1FA2-4664-BF09-FAF9F3DA6B88}">
  <dimension ref="A1:H52"/>
  <sheetViews>
    <sheetView workbookViewId="0">
      <selection activeCell="C25" sqref="A1:XFD1048576"/>
    </sheetView>
  </sheetViews>
  <sheetFormatPr defaultRowHeight="15" x14ac:dyDescent="0.25"/>
  <cols>
    <col min="1" max="1" width="3.140625" customWidth="1"/>
    <col min="3" max="3" width="38.42578125" customWidth="1"/>
    <col min="6" max="6" width="10" bestFit="1" customWidth="1"/>
    <col min="7" max="7" width="10.85546875" customWidth="1"/>
    <col min="8" max="8" width="19" customWidth="1"/>
  </cols>
  <sheetData>
    <row r="1" spans="1:8" x14ac:dyDescent="0.25">
      <c r="C1" t="s">
        <v>350</v>
      </c>
      <c r="D1" t="s">
        <v>349</v>
      </c>
      <c r="E1" t="s">
        <v>348</v>
      </c>
      <c r="F1" t="s">
        <v>346</v>
      </c>
      <c r="G1" t="s">
        <v>339</v>
      </c>
      <c r="H1" t="s">
        <v>347</v>
      </c>
    </row>
    <row r="2" spans="1:8" ht="18.75" x14ac:dyDescent="0.3">
      <c r="B2" s="17" t="s">
        <v>331</v>
      </c>
      <c r="C2" s="3"/>
      <c r="D2" s="3"/>
      <c r="E2" s="3"/>
      <c r="F2" s="3"/>
      <c r="G2" s="3"/>
      <c r="H2" s="3"/>
    </row>
    <row r="3" spans="1:8" x14ac:dyDescent="0.25">
      <c r="A3">
        <v>1</v>
      </c>
      <c r="B3" t="s">
        <v>201</v>
      </c>
      <c r="C3" t="s">
        <v>57</v>
      </c>
      <c r="D3">
        <v>210</v>
      </c>
      <c r="E3">
        <v>9.44</v>
      </c>
      <c r="F3" t="s">
        <v>42</v>
      </c>
    </row>
    <row r="4" spans="1:8" x14ac:dyDescent="0.25">
      <c r="A4">
        <v>2</v>
      </c>
      <c r="B4" t="s">
        <v>202</v>
      </c>
      <c r="C4" t="s">
        <v>58</v>
      </c>
      <c r="D4">
        <v>220</v>
      </c>
      <c r="E4">
        <v>7.32</v>
      </c>
      <c r="F4" t="s">
        <v>42</v>
      </c>
    </row>
    <row r="5" spans="1:8" x14ac:dyDescent="0.25">
      <c r="A5">
        <v>3</v>
      </c>
      <c r="B5" t="s">
        <v>208</v>
      </c>
      <c r="C5" t="s">
        <v>64</v>
      </c>
      <c r="D5">
        <v>252</v>
      </c>
      <c r="E5">
        <v>3.7</v>
      </c>
      <c r="F5" t="s">
        <v>42</v>
      </c>
    </row>
    <row r="6" spans="1:8" x14ac:dyDescent="0.25">
      <c r="A6">
        <v>4</v>
      </c>
      <c r="B6" t="s">
        <v>209</v>
      </c>
      <c r="C6" t="s">
        <v>65</v>
      </c>
      <c r="D6">
        <v>253</v>
      </c>
      <c r="E6">
        <v>2.02</v>
      </c>
      <c r="F6" t="s">
        <v>42</v>
      </c>
    </row>
    <row r="7" spans="1:8" ht="18.75" x14ac:dyDescent="0.3">
      <c r="B7" s="11" t="s">
        <v>327</v>
      </c>
      <c r="C7" s="5"/>
      <c r="D7" s="5"/>
      <c r="E7" s="5"/>
      <c r="F7" s="5"/>
      <c r="G7" s="5"/>
      <c r="H7" s="5"/>
    </row>
    <row r="8" spans="1:8" x14ac:dyDescent="0.25">
      <c r="A8">
        <v>5</v>
      </c>
      <c r="B8" t="s">
        <v>211</v>
      </c>
      <c r="C8" t="s">
        <v>9</v>
      </c>
      <c r="D8">
        <v>310</v>
      </c>
      <c r="E8">
        <v>8.36</v>
      </c>
      <c r="F8" t="s">
        <v>344</v>
      </c>
    </row>
    <row r="9" spans="1:8" x14ac:dyDescent="0.25">
      <c r="A9">
        <v>6</v>
      </c>
      <c r="B9" t="s">
        <v>214</v>
      </c>
      <c r="C9" t="s">
        <v>10</v>
      </c>
      <c r="D9">
        <v>320</v>
      </c>
      <c r="E9">
        <v>3.35</v>
      </c>
      <c r="F9" t="s">
        <v>344</v>
      </c>
    </row>
    <row r="10" spans="1:8" x14ac:dyDescent="0.25">
      <c r="A10">
        <v>7</v>
      </c>
      <c r="B10" t="s">
        <v>205</v>
      </c>
      <c r="C10" t="s">
        <v>61</v>
      </c>
      <c r="D10">
        <v>265</v>
      </c>
      <c r="E10">
        <v>9.73</v>
      </c>
      <c r="F10" t="s">
        <v>344</v>
      </c>
    </row>
    <row r="11" spans="1:8" ht="18.75" x14ac:dyDescent="0.3">
      <c r="B11" s="12" t="s">
        <v>328</v>
      </c>
      <c r="C11" s="9"/>
      <c r="D11" s="9"/>
      <c r="E11" s="9"/>
      <c r="F11" s="9"/>
      <c r="G11" s="9"/>
      <c r="H11" s="9"/>
    </row>
    <row r="12" spans="1:8" x14ac:dyDescent="0.25">
      <c r="A12">
        <v>8</v>
      </c>
      <c r="B12" t="s">
        <v>169</v>
      </c>
      <c r="C12" t="s">
        <v>11</v>
      </c>
      <c r="D12">
        <v>820</v>
      </c>
      <c r="E12">
        <v>37.75</v>
      </c>
      <c r="F12" t="s">
        <v>44</v>
      </c>
      <c r="H12" t="s">
        <v>342</v>
      </c>
    </row>
    <row r="13" spans="1:8" x14ac:dyDescent="0.25">
      <c r="A13">
        <v>9</v>
      </c>
      <c r="B13" t="s">
        <v>292</v>
      </c>
      <c r="C13" t="s">
        <v>148</v>
      </c>
      <c r="D13">
        <v>890</v>
      </c>
      <c r="E13">
        <v>6.3</v>
      </c>
      <c r="F13" t="s">
        <v>44</v>
      </c>
    </row>
    <row r="14" spans="1:8" x14ac:dyDescent="0.25">
      <c r="A14">
        <v>10</v>
      </c>
      <c r="B14" t="s">
        <v>290</v>
      </c>
      <c r="C14" t="s">
        <v>146</v>
      </c>
      <c r="D14">
        <v>880</v>
      </c>
      <c r="E14">
        <v>90.08</v>
      </c>
      <c r="F14" t="s">
        <v>44</v>
      </c>
    </row>
    <row r="15" spans="1:8" x14ac:dyDescent="0.25">
      <c r="A15">
        <v>11</v>
      </c>
      <c r="B15" t="s">
        <v>283</v>
      </c>
      <c r="C15" t="s">
        <v>14</v>
      </c>
      <c r="D15">
        <v>850</v>
      </c>
      <c r="E15">
        <v>106.78</v>
      </c>
      <c r="F15" t="s">
        <v>44</v>
      </c>
    </row>
    <row r="16" spans="1:8" x14ac:dyDescent="0.25">
      <c r="A16">
        <v>12</v>
      </c>
      <c r="B16" t="s">
        <v>293</v>
      </c>
      <c r="C16" t="s">
        <v>149</v>
      </c>
      <c r="D16">
        <v>911</v>
      </c>
      <c r="E16">
        <v>12.13</v>
      </c>
      <c r="F16" t="s">
        <v>40</v>
      </c>
    </row>
    <row r="17" spans="1:8" x14ac:dyDescent="0.25">
      <c r="A17">
        <v>13</v>
      </c>
      <c r="B17" t="s">
        <v>298</v>
      </c>
      <c r="C17" t="s">
        <v>353</v>
      </c>
      <c r="D17">
        <v>932</v>
      </c>
      <c r="E17">
        <v>112.18</v>
      </c>
      <c r="F17" t="s">
        <v>44</v>
      </c>
    </row>
    <row r="18" spans="1:8" x14ac:dyDescent="0.25">
      <c r="A18">
        <v>14</v>
      </c>
      <c r="B18" t="s">
        <v>299</v>
      </c>
      <c r="C18" t="s">
        <v>155</v>
      </c>
      <c r="D18">
        <v>933</v>
      </c>
      <c r="E18">
        <v>346.23</v>
      </c>
      <c r="F18" t="s">
        <v>44</v>
      </c>
    </row>
    <row r="19" spans="1:8" x14ac:dyDescent="0.25">
      <c r="A19">
        <v>15</v>
      </c>
      <c r="B19" t="s">
        <v>297</v>
      </c>
      <c r="C19" t="s">
        <v>352</v>
      </c>
      <c r="D19">
        <v>931</v>
      </c>
      <c r="E19">
        <v>83.84</v>
      </c>
      <c r="F19" t="s">
        <v>44</v>
      </c>
    </row>
    <row r="20" spans="1:8" x14ac:dyDescent="0.25">
      <c r="A20">
        <v>16</v>
      </c>
      <c r="B20" t="s">
        <v>294</v>
      </c>
      <c r="C20" t="s">
        <v>150</v>
      </c>
      <c r="D20">
        <v>925</v>
      </c>
      <c r="E20">
        <v>11.36</v>
      </c>
      <c r="F20" t="s">
        <v>44</v>
      </c>
    </row>
    <row r="21" spans="1:8" x14ac:dyDescent="0.25">
      <c r="A21">
        <v>17</v>
      </c>
      <c r="B21" t="s">
        <v>280</v>
      </c>
      <c r="C21" t="s">
        <v>137</v>
      </c>
      <c r="D21">
        <v>943</v>
      </c>
      <c r="E21">
        <v>16.28</v>
      </c>
      <c r="F21" t="s">
        <v>44</v>
      </c>
    </row>
    <row r="22" spans="1:8" x14ac:dyDescent="0.25">
      <c r="A22">
        <v>18</v>
      </c>
      <c r="B22" t="s">
        <v>268</v>
      </c>
      <c r="C22" t="s">
        <v>125</v>
      </c>
      <c r="D22">
        <v>812</v>
      </c>
      <c r="E22">
        <v>18.05</v>
      </c>
      <c r="F22" t="s">
        <v>44</v>
      </c>
    </row>
    <row r="23" spans="1:8" x14ac:dyDescent="0.25">
      <c r="A23">
        <v>19</v>
      </c>
      <c r="B23" t="s">
        <v>270</v>
      </c>
      <c r="C23" t="s">
        <v>127</v>
      </c>
      <c r="D23">
        <v>815</v>
      </c>
      <c r="E23">
        <v>53.12</v>
      </c>
      <c r="F23" t="s">
        <v>44</v>
      </c>
    </row>
    <row r="24" spans="1:8" x14ac:dyDescent="0.25">
      <c r="A24">
        <v>20</v>
      </c>
      <c r="B24" t="s">
        <v>254</v>
      </c>
      <c r="C24" t="s">
        <v>354</v>
      </c>
      <c r="D24">
        <v>710</v>
      </c>
      <c r="E24">
        <v>9.74</v>
      </c>
      <c r="F24" t="s">
        <v>44</v>
      </c>
    </row>
    <row r="25" spans="1:8" x14ac:dyDescent="0.25">
      <c r="A25">
        <v>21</v>
      </c>
      <c r="B25" t="s">
        <v>258</v>
      </c>
      <c r="C25" t="s">
        <v>114</v>
      </c>
      <c r="D25">
        <v>720</v>
      </c>
      <c r="E25">
        <v>34.799999999999997</v>
      </c>
      <c r="F25" t="s">
        <v>44</v>
      </c>
    </row>
    <row r="26" spans="1:8" x14ac:dyDescent="0.25">
      <c r="A26">
        <v>22</v>
      </c>
      <c r="B26" t="s">
        <v>184</v>
      </c>
      <c r="C26" t="s">
        <v>26</v>
      </c>
      <c r="D26">
        <v>110</v>
      </c>
      <c r="E26">
        <v>4.96</v>
      </c>
      <c r="F26" t="s">
        <v>44</v>
      </c>
    </row>
    <row r="27" spans="1:8" x14ac:dyDescent="0.25">
      <c r="A27">
        <v>23</v>
      </c>
      <c r="B27" t="s">
        <v>186</v>
      </c>
      <c r="C27" t="s">
        <v>28</v>
      </c>
      <c r="D27">
        <v>151</v>
      </c>
      <c r="E27">
        <v>1.51</v>
      </c>
      <c r="F27" t="s">
        <v>44</v>
      </c>
    </row>
    <row r="28" spans="1:8" x14ac:dyDescent="0.25">
      <c r="A28">
        <v>24</v>
      </c>
      <c r="B28" t="s">
        <v>266</v>
      </c>
      <c r="C28" t="s">
        <v>122</v>
      </c>
      <c r="D28" s="10"/>
      <c r="E28" s="10"/>
      <c r="F28" t="s">
        <v>40</v>
      </c>
      <c r="G28" t="s">
        <v>334</v>
      </c>
    </row>
    <row r="29" spans="1:8" x14ac:dyDescent="0.25">
      <c r="A29">
        <v>25</v>
      </c>
      <c r="B29" t="s">
        <v>267</v>
      </c>
      <c r="C29" t="s">
        <v>123</v>
      </c>
      <c r="D29" s="10"/>
      <c r="E29" s="10"/>
      <c r="F29" t="s">
        <v>40</v>
      </c>
      <c r="G29" t="s">
        <v>334</v>
      </c>
    </row>
    <row r="30" spans="1:8" x14ac:dyDescent="0.25">
      <c r="A30">
        <v>26</v>
      </c>
      <c r="B30" t="s">
        <v>277</v>
      </c>
      <c r="C30" t="s">
        <v>134</v>
      </c>
      <c r="D30">
        <v>840</v>
      </c>
      <c r="E30">
        <v>27.84</v>
      </c>
      <c r="F30" t="s">
        <v>44</v>
      </c>
    </row>
    <row r="31" spans="1:8" ht="18.75" x14ac:dyDescent="0.3">
      <c r="B31" s="13" t="s">
        <v>329</v>
      </c>
      <c r="C31" s="7"/>
      <c r="D31" s="7"/>
      <c r="E31" s="7"/>
      <c r="F31" s="7"/>
      <c r="G31" s="7"/>
      <c r="H31" s="7"/>
    </row>
    <row r="32" spans="1:8" x14ac:dyDescent="0.25">
      <c r="A32">
        <v>27</v>
      </c>
      <c r="B32" t="s">
        <v>216</v>
      </c>
      <c r="C32" t="s">
        <v>71</v>
      </c>
      <c r="D32" s="10"/>
      <c r="E32" s="10"/>
      <c r="F32" t="s">
        <v>40</v>
      </c>
      <c r="G32" t="s">
        <v>334</v>
      </c>
    </row>
    <row r="33" spans="1:8" x14ac:dyDescent="0.25">
      <c r="A33">
        <v>28</v>
      </c>
      <c r="B33" t="s">
        <v>326</v>
      </c>
      <c r="C33" t="s">
        <v>325</v>
      </c>
      <c r="D33" s="10"/>
      <c r="E33" s="10"/>
      <c r="F33" t="s">
        <v>40</v>
      </c>
      <c r="G33" t="s">
        <v>334</v>
      </c>
    </row>
    <row r="34" spans="1:8" x14ac:dyDescent="0.25">
      <c r="A34">
        <v>29</v>
      </c>
      <c r="B34" t="s">
        <v>221</v>
      </c>
      <c r="C34" t="s">
        <v>76</v>
      </c>
      <c r="D34" s="10" t="s">
        <v>77</v>
      </c>
      <c r="E34" s="10"/>
      <c r="F34" t="s">
        <v>40</v>
      </c>
      <c r="G34" t="s">
        <v>334</v>
      </c>
    </row>
    <row r="35" spans="1:8" x14ac:dyDescent="0.25">
      <c r="A35">
        <v>30</v>
      </c>
      <c r="B35" t="s">
        <v>222</v>
      </c>
      <c r="C35" t="s">
        <v>78</v>
      </c>
      <c r="D35">
        <v>411</v>
      </c>
      <c r="E35">
        <v>0.78</v>
      </c>
      <c r="F35" t="s">
        <v>333</v>
      </c>
    </row>
    <row r="36" spans="1:8" x14ac:dyDescent="0.25">
      <c r="A36">
        <v>31</v>
      </c>
      <c r="B36" t="s">
        <v>223</v>
      </c>
      <c r="C36" t="s">
        <v>79</v>
      </c>
      <c r="D36">
        <v>416</v>
      </c>
      <c r="E36">
        <v>12.57</v>
      </c>
      <c r="F36" t="s">
        <v>335</v>
      </c>
      <c r="G36" t="s">
        <v>340</v>
      </c>
    </row>
    <row r="37" spans="1:8" x14ac:dyDescent="0.25">
      <c r="A37">
        <v>32</v>
      </c>
      <c r="B37" t="s">
        <v>224</v>
      </c>
      <c r="C37" t="s">
        <v>80</v>
      </c>
      <c r="D37">
        <v>420</v>
      </c>
      <c r="E37">
        <v>2.41</v>
      </c>
      <c r="F37" t="s">
        <v>338</v>
      </c>
      <c r="G37" t="s">
        <v>345</v>
      </c>
    </row>
    <row r="38" spans="1:8" x14ac:dyDescent="0.25">
      <c r="A38">
        <v>33</v>
      </c>
      <c r="B38" t="s">
        <v>225</v>
      </c>
      <c r="C38" t="s">
        <v>81</v>
      </c>
      <c r="D38">
        <v>430</v>
      </c>
      <c r="E38">
        <v>3.74</v>
      </c>
      <c r="F38" t="s">
        <v>333</v>
      </c>
    </row>
    <row r="39" spans="1:8" x14ac:dyDescent="0.25">
      <c r="A39">
        <v>34</v>
      </c>
      <c r="B39" t="s">
        <v>226</v>
      </c>
      <c r="C39" t="s">
        <v>82</v>
      </c>
      <c r="D39">
        <v>437</v>
      </c>
      <c r="E39">
        <v>24.07</v>
      </c>
      <c r="F39" t="s">
        <v>44</v>
      </c>
      <c r="G39" t="s">
        <v>340</v>
      </c>
    </row>
    <row r="40" spans="1:8" x14ac:dyDescent="0.25">
      <c r="A40">
        <v>35</v>
      </c>
      <c r="B40" t="s">
        <v>227</v>
      </c>
      <c r="C40" t="s">
        <v>83</v>
      </c>
      <c r="D40">
        <v>444</v>
      </c>
      <c r="E40">
        <v>78.09</v>
      </c>
      <c r="F40" t="s">
        <v>44</v>
      </c>
      <c r="G40" t="s">
        <v>345</v>
      </c>
    </row>
    <row r="41" spans="1:8" x14ac:dyDescent="0.25">
      <c r="A41">
        <v>36</v>
      </c>
      <c r="B41" t="s">
        <v>232</v>
      </c>
      <c r="C41" t="s">
        <v>88</v>
      </c>
      <c r="D41">
        <v>492</v>
      </c>
      <c r="E41">
        <v>38.97</v>
      </c>
      <c r="F41" t="s">
        <v>44</v>
      </c>
      <c r="G41" t="s">
        <v>340</v>
      </c>
    </row>
    <row r="42" spans="1:8" x14ac:dyDescent="0.25">
      <c r="A42">
        <v>37</v>
      </c>
      <c r="B42" t="s">
        <v>234</v>
      </c>
      <c r="C42" t="s">
        <v>90</v>
      </c>
      <c r="D42">
        <v>495</v>
      </c>
      <c r="E42">
        <v>28.82</v>
      </c>
      <c r="F42" t="s">
        <v>44</v>
      </c>
    </row>
    <row r="43" spans="1:8" ht="18.75" x14ac:dyDescent="0.3">
      <c r="B43" s="14" t="s">
        <v>330</v>
      </c>
      <c r="C43" s="15"/>
      <c r="D43" s="15"/>
      <c r="E43" s="15"/>
      <c r="F43" s="15"/>
      <c r="G43" s="15"/>
      <c r="H43" s="15"/>
    </row>
    <row r="44" spans="1:8" x14ac:dyDescent="0.25">
      <c r="A44">
        <v>38</v>
      </c>
      <c r="B44" t="s">
        <v>243</v>
      </c>
      <c r="C44" t="s">
        <v>99</v>
      </c>
      <c r="D44">
        <v>550</v>
      </c>
      <c r="E44">
        <v>26.04</v>
      </c>
      <c r="F44" t="s">
        <v>44</v>
      </c>
    </row>
    <row r="45" spans="1:8" x14ac:dyDescent="0.25">
      <c r="A45">
        <v>39</v>
      </c>
      <c r="B45" t="s">
        <v>237</v>
      </c>
      <c r="C45" t="s">
        <v>93</v>
      </c>
      <c r="D45">
        <v>530</v>
      </c>
      <c r="E45">
        <v>14.07</v>
      </c>
      <c r="F45" t="s">
        <v>44</v>
      </c>
    </row>
    <row r="46" spans="1:8" x14ac:dyDescent="0.25">
      <c r="A46">
        <v>40</v>
      </c>
      <c r="B46" t="s">
        <v>236</v>
      </c>
      <c r="C46" t="s">
        <v>92</v>
      </c>
      <c r="D46">
        <v>522</v>
      </c>
      <c r="E46">
        <v>20.170000000000002</v>
      </c>
      <c r="F46" t="s">
        <v>44</v>
      </c>
    </row>
    <row r="47" spans="1:8" x14ac:dyDescent="0.25">
      <c r="A47">
        <v>41</v>
      </c>
      <c r="B47" t="s">
        <v>235</v>
      </c>
      <c r="C47" t="s">
        <v>91</v>
      </c>
      <c r="D47">
        <v>520</v>
      </c>
      <c r="E47">
        <v>19.52</v>
      </c>
      <c r="F47" t="s">
        <v>44</v>
      </c>
    </row>
    <row r="48" spans="1:8" x14ac:dyDescent="0.25">
      <c r="A48">
        <v>42</v>
      </c>
      <c r="B48" t="s">
        <v>239</v>
      </c>
      <c r="C48" t="s">
        <v>351</v>
      </c>
      <c r="D48">
        <v>536</v>
      </c>
      <c r="E48">
        <v>42.34</v>
      </c>
      <c r="F48" t="s">
        <v>44</v>
      </c>
      <c r="G48" t="s">
        <v>340</v>
      </c>
    </row>
    <row r="49" spans="1:8" x14ac:dyDescent="0.25">
      <c r="A49">
        <v>43</v>
      </c>
      <c r="B49" t="s">
        <v>244</v>
      </c>
      <c r="C49" t="s">
        <v>100</v>
      </c>
      <c r="D49">
        <v>560</v>
      </c>
      <c r="E49">
        <v>9.9</v>
      </c>
      <c r="F49" t="s">
        <v>44</v>
      </c>
      <c r="H49" t="s">
        <v>343</v>
      </c>
    </row>
    <row r="50" spans="1:8" x14ac:dyDescent="0.25">
      <c r="A50">
        <v>44</v>
      </c>
      <c r="B50" t="s">
        <v>247</v>
      </c>
      <c r="C50" t="s">
        <v>103</v>
      </c>
      <c r="D50">
        <v>565</v>
      </c>
      <c r="E50">
        <v>47.62</v>
      </c>
      <c r="F50" t="s">
        <v>44</v>
      </c>
    </row>
    <row r="51" spans="1:8" x14ac:dyDescent="0.25">
      <c r="A51">
        <v>45</v>
      </c>
      <c r="B51" t="s">
        <v>249</v>
      </c>
      <c r="C51" t="s">
        <v>105</v>
      </c>
      <c r="D51">
        <v>590</v>
      </c>
      <c r="E51">
        <v>72.05</v>
      </c>
      <c r="F51" t="s">
        <v>44</v>
      </c>
    </row>
    <row r="52" spans="1:8" x14ac:dyDescent="0.25">
      <c r="A52">
        <v>46</v>
      </c>
      <c r="B52" t="s">
        <v>250</v>
      </c>
      <c r="C52" t="s">
        <v>106</v>
      </c>
      <c r="D52">
        <v>610</v>
      </c>
      <c r="E52">
        <v>10.723000000000001</v>
      </c>
      <c r="F52" t="s">
        <v>44</v>
      </c>
    </row>
  </sheetData>
  <pageMargins left="0.7" right="0.7" top="0.75" bottom="0.75" header="0.3" footer="0.3"/>
  <pageSetup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C90879-45EA-46D4-957C-588B6196CFF5}">
  <dimension ref="A1:F47"/>
  <sheetViews>
    <sheetView workbookViewId="0">
      <selection activeCell="H16" sqref="A1:XFD1048576"/>
    </sheetView>
  </sheetViews>
  <sheetFormatPr defaultRowHeight="15" x14ac:dyDescent="0.25"/>
  <cols>
    <col min="2" max="2" width="38.42578125" customWidth="1"/>
    <col min="5" max="5" width="10" bestFit="1" customWidth="1"/>
    <col min="6" max="6" width="10.85546875" customWidth="1"/>
  </cols>
  <sheetData>
    <row r="1" spans="1:6" x14ac:dyDescent="0.25">
      <c r="A1" t="s">
        <v>372</v>
      </c>
      <c r="B1" t="s">
        <v>373</v>
      </c>
      <c r="C1" t="s">
        <v>349</v>
      </c>
      <c r="D1" t="s">
        <v>348</v>
      </c>
      <c r="E1" t="s">
        <v>346</v>
      </c>
      <c r="F1" t="s">
        <v>339</v>
      </c>
    </row>
    <row r="2" spans="1:6" x14ac:dyDescent="0.25">
      <c r="A2" t="s">
        <v>201</v>
      </c>
      <c r="B2" t="s">
        <v>57</v>
      </c>
      <c r="C2">
        <v>210</v>
      </c>
      <c r="D2">
        <v>9.44</v>
      </c>
      <c r="E2" t="s">
        <v>42</v>
      </c>
    </row>
    <row r="3" spans="1:6" x14ac:dyDescent="0.25">
      <c r="A3" t="s">
        <v>202</v>
      </c>
      <c r="B3" t="s">
        <v>58</v>
      </c>
      <c r="C3">
        <v>220</v>
      </c>
      <c r="D3">
        <v>7.32</v>
      </c>
      <c r="E3" t="s">
        <v>42</v>
      </c>
    </row>
    <row r="4" spans="1:6" x14ac:dyDescent="0.25">
      <c r="A4" t="s">
        <v>208</v>
      </c>
      <c r="B4" t="s">
        <v>64</v>
      </c>
      <c r="C4">
        <v>252</v>
      </c>
      <c r="D4">
        <v>3.7</v>
      </c>
      <c r="E4" t="s">
        <v>42</v>
      </c>
    </row>
    <row r="5" spans="1:6" x14ac:dyDescent="0.25">
      <c r="A5" t="s">
        <v>209</v>
      </c>
      <c r="B5" t="s">
        <v>65</v>
      </c>
      <c r="C5">
        <v>253</v>
      </c>
      <c r="D5">
        <v>2.02</v>
      </c>
      <c r="E5" t="s">
        <v>42</v>
      </c>
    </row>
    <row r="6" spans="1:6" x14ac:dyDescent="0.25">
      <c r="A6" t="s">
        <v>211</v>
      </c>
      <c r="B6" t="s">
        <v>9</v>
      </c>
      <c r="C6">
        <v>310</v>
      </c>
      <c r="D6">
        <v>8.36</v>
      </c>
      <c r="E6" t="s">
        <v>344</v>
      </c>
    </row>
    <row r="7" spans="1:6" x14ac:dyDescent="0.25">
      <c r="A7" t="s">
        <v>214</v>
      </c>
      <c r="B7" t="s">
        <v>10</v>
      </c>
      <c r="C7">
        <v>320</v>
      </c>
      <c r="D7">
        <v>3.35</v>
      </c>
      <c r="E7" t="s">
        <v>344</v>
      </c>
    </row>
    <row r="8" spans="1:6" x14ac:dyDescent="0.25">
      <c r="A8" t="s">
        <v>205</v>
      </c>
      <c r="B8" t="s">
        <v>61</v>
      </c>
      <c r="C8">
        <v>265</v>
      </c>
      <c r="D8">
        <v>9.73</v>
      </c>
      <c r="E8" t="s">
        <v>344</v>
      </c>
    </row>
    <row r="9" spans="1:6" x14ac:dyDescent="0.25">
      <c r="A9" t="s">
        <v>169</v>
      </c>
      <c r="B9" t="s">
        <v>11</v>
      </c>
      <c r="C9">
        <v>820</v>
      </c>
      <c r="D9">
        <v>37.75</v>
      </c>
      <c r="E9" t="s">
        <v>44</v>
      </c>
    </row>
    <row r="10" spans="1:6" x14ac:dyDescent="0.25">
      <c r="A10" t="s">
        <v>292</v>
      </c>
      <c r="B10" t="s">
        <v>148</v>
      </c>
      <c r="C10">
        <v>890</v>
      </c>
      <c r="D10">
        <v>6.3</v>
      </c>
      <c r="E10" t="s">
        <v>44</v>
      </c>
    </row>
    <row r="11" spans="1:6" x14ac:dyDescent="0.25">
      <c r="A11" t="s">
        <v>290</v>
      </c>
      <c r="B11" t="s">
        <v>146</v>
      </c>
      <c r="C11">
        <v>880</v>
      </c>
      <c r="D11">
        <v>90.08</v>
      </c>
      <c r="E11" t="s">
        <v>44</v>
      </c>
    </row>
    <row r="12" spans="1:6" x14ac:dyDescent="0.25">
      <c r="A12" t="s">
        <v>283</v>
      </c>
      <c r="B12" t="s">
        <v>14</v>
      </c>
      <c r="C12">
        <v>850</v>
      </c>
      <c r="D12">
        <v>106.78</v>
      </c>
      <c r="E12" t="s">
        <v>44</v>
      </c>
    </row>
    <row r="13" spans="1:6" x14ac:dyDescent="0.25">
      <c r="A13" t="s">
        <v>293</v>
      </c>
      <c r="B13" t="s">
        <v>149</v>
      </c>
      <c r="C13">
        <v>911</v>
      </c>
      <c r="D13">
        <v>12.13</v>
      </c>
      <c r="E13" t="s">
        <v>40</v>
      </c>
    </row>
    <row r="14" spans="1:6" x14ac:dyDescent="0.25">
      <c r="A14" t="s">
        <v>298</v>
      </c>
      <c r="B14" t="s">
        <v>353</v>
      </c>
      <c r="C14">
        <v>932</v>
      </c>
      <c r="D14">
        <v>112.18</v>
      </c>
      <c r="E14" t="s">
        <v>44</v>
      </c>
    </row>
    <row r="15" spans="1:6" x14ac:dyDescent="0.25">
      <c r="A15" t="s">
        <v>299</v>
      </c>
      <c r="B15" t="s">
        <v>155</v>
      </c>
      <c r="C15">
        <v>933</v>
      </c>
      <c r="D15">
        <v>346.23</v>
      </c>
      <c r="E15" t="s">
        <v>44</v>
      </c>
    </row>
    <row r="16" spans="1:6" x14ac:dyDescent="0.25">
      <c r="A16" t="s">
        <v>297</v>
      </c>
      <c r="B16" t="s">
        <v>352</v>
      </c>
      <c r="C16">
        <v>931</v>
      </c>
      <c r="D16">
        <v>83.84</v>
      </c>
      <c r="E16" t="s">
        <v>44</v>
      </c>
    </row>
    <row r="17" spans="1:6" x14ac:dyDescent="0.25">
      <c r="A17" t="s">
        <v>294</v>
      </c>
      <c r="B17" t="s">
        <v>150</v>
      </c>
      <c r="C17">
        <v>925</v>
      </c>
      <c r="D17">
        <v>11.36</v>
      </c>
      <c r="E17" t="s">
        <v>44</v>
      </c>
    </row>
    <row r="18" spans="1:6" x14ac:dyDescent="0.25">
      <c r="A18" t="s">
        <v>280</v>
      </c>
      <c r="B18" t="s">
        <v>137</v>
      </c>
      <c r="C18">
        <v>943</v>
      </c>
      <c r="D18">
        <v>16.28</v>
      </c>
      <c r="E18" t="s">
        <v>44</v>
      </c>
    </row>
    <row r="19" spans="1:6" x14ac:dyDescent="0.25">
      <c r="A19" t="s">
        <v>268</v>
      </c>
      <c r="B19" t="s">
        <v>125</v>
      </c>
      <c r="C19">
        <v>812</v>
      </c>
      <c r="D19">
        <v>18.05</v>
      </c>
      <c r="E19" t="s">
        <v>44</v>
      </c>
    </row>
    <row r="20" spans="1:6" x14ac:dyDescent="0.25">
      <c r="A20" t="s">
        <v>270</v>
      </c>
      <c r="B20" t="s">
        <v>127</v>
      </c>
      <c r="C20">
        <v>815</v>
      </c>
      <c r="D20">
        <v>53.12</v>
      </c>
      <c r="E20" t="s">
        <v>44</v>
      </c>
    </row>
    <row r="21" spans="1:6" x14ac:dyDescent="0.25">
      <c r="A21" t="s">
        <v>254</v>
      </c>
      <c r="B21" t="s">
        <v>354</v>
      </c>
      <c r="C21">
        <v>710</v>
      </c>
      <c r="D21">
        <v>9.74</v>
      </c>
      <c r="E21" t="s">
        <v>44</v>
      </c>
    </row>
    <row r="22" spans="1:6" x14ac:dyDescent="0.25">
      <c r="A22" t="s">
        <v>258</v>
      </c>
      <c r="B22" t="s">
        <v>114</v>
      </c>
      <c r="C22">
        <v>720</v>
      </c>
      <c r="D22">
        <v>34.799999999999997</v>
      </c>
      <c r="E22" t="s">
        <v>44</v>
      </c>
    </row>
    <row r="23" spans="1:6" x14ac:dyDescent="0.25">
      <c r="A23" t="s">
        <v>184</v>
      </c>
      <c r="B23" t="s">
        <v>26</v>
      </c>
      <c r="C23">
        <v>110</v>
      </c>
      <c r="D23">
        <v>4.96</v>
      </c>
      <c r="E23" t="s">
        <v>44</v>
      </c>
    </row>
    <row r="24" spans="1:6" x14ac:dyDescent="0.25">
      <c r="A24" t="s">
        <v>186</v>
      </c>
      <c r="B24" t="s">
        <v>28</v>
      </c>
      <c r="C24">
        <v>151</v>
      </c>
      <c r="D24">
        <v>1.51</v>
      </c>
      <c r="E24" t="s">
        <v>44</v>
      </c>
    </row>
    <row r="25" spans="1:6" x14ac:dyDescent="0.25">
      <c r="A25" t="s">
        <v>266</v>
      </c>
      <c r="B25" t="s">
        <v>122</v>
      </c>
      <c r="C25" s="10"/>
      <c r="D25" s="10"/>
      <c r="E25" t="s">
        <v>40</v>
      </c>
      <c r="F25" t="s">
        <v>334</v>
      </c>
    </row>
    <row r="26" spans="1:6" x14ac:dyDescent="0.25">
      <c r="A26" t="s">
        <v>267</v>
      </c>
      <c r="B26" t="s">
        <v>123</v>
      </c>
      <c r="C26" s="10"/>
      <c r="D26" s="10"/>
      <c r="E26" t="s">
        <v>40</v>
      </c>
      <c r="F26" t="s">
        <v>334</v>
      </c>
    </row>
    <row r="27" spans="1:6" x14ac:dyDescent="0.25">
      <c r="A27" t="s">
        <v>277</v>
      </c>
      <c r="B27" t="s">
        <v>134</v>
      </c>
      <c r="C27">
        <v>840</v>
      </c>
      <c r="D27">
        <v>27.84</v>
      </c>
      <c r="E27" t="s">
        <v>44</v>
      </c>
    </row>
    <row r="28" spans="1:6" x14ac:dyDescent="0.25">
      <c r="A28" t="s">
        <v>216</v>
      </c>
      <c r="B28" t="s">
        <v>71</v>
      </c>
      <c r="C28" s="10"/>
      <c r="D28" s="10"/>
      <c r="E28" t="s">
        <v>40</v>
      </c>
      <c r="F28" t="s">
        <v>334</v>
      </c>
    </row>
    <row r="29" spans="1:6" x14ac:dyDescent="0.25">
      <c r="A29" t="s">
        <v>326</v>
      </c>
      <c r="B29" t="s">
        <v>325</v>
      </c>
      <c r="C29" s="10"/>
      <c r="D29" s="10"/>
      <c r="E29" t="s">
        <v>40</v>
      </c>
      <c r="F29" t="s">
        <v>334</v>
      </c>
    </row>
    <row r="30" spans="1:6" x14ac:dyDescent="0.25">
      <c r="A30" t="s">
        <v>221</v>
      </c>
      <c r="B30" t="s">
        <v>76</v>
      </c>
      <c r="C30" s="10"/>
      <c r="D30" s="10"/>
      <c r="E30" t="s">
        <v>40</v>
      </c>
      <c r="F30" t="s">
        <v>334</v>
      </c>
    </row>
    <row r="31" spans="1:6" x14ac:dyDescent="0.25">
      <c r="A31" t="s">
        <v>222</v>
      </c>
      <c r="B31" t="s">
        <v>78</v>
      </c>
      <c r="C31">
        <v>411</v>
      </c>
      <c r="D31">
        <v>0.78</v>
      </c>
      <c r="E31" t="s">
        <v>333</v>
      </c>
    </row>
    <row r="32" spans="1:6" x14ac:dyDescent="0.25">
      <c r="A32" t="s">
        <v>223</v>
      </c>
      <c r="B32" t="s">
        <v>79</v>
      </c>
      <c r="C32">
        <v>416</v>
      </c>
      <c r="D32">
        <v>12.57</v>
      </c>
      <c r="E32" t="s">
        <v>335</v>
      </c>
      <c r="F32" t="s">
        <v>340</v>
      </c>
    </row>
    <row r="33" spans="1:6" x14ac:dyDescent="0.25">
      <c r="A33" t="s">
        <v>224</v>
      </c>
      <c r="B33" t="s">
        <v>80</v>
      </c>
      <c r="C33">
        <v>420</v>
      </c>
      <c r="D33">
        <v>2.41</v>
      </c>
      <c r="E33" t="s">
        <v>338</v>
      </c>
      <c r="F33" t="s">
        <v>345</v>
      </c>
    </row>
    <row r="34" spans="1:6" x14ac:dyDescent="0.25">
      <c r="A34" t="s">
        <v>225</v>
      </c>
      <c r="B34" t="s">
        <v>81</v>
      </c>
      <c r="C34">
        <v>430</v>
      </c>
      <c r="D34">
        <v>3.74</v>
      </c>
      <c r="E34" t="s">
        <v>333</v>
      </c>
    </row>
    <row r="35" spans="1:6" x14ac:dyDescent="0.25">
      <c r="A35" t="s">
        <v>226</v>
      </c>
      <c r="B35" t="s">
        <v>82</v>
      </c>
      <c r="C35">
        <v>437</v>
      </c>
      <c r="D35">
        <v>24.07</v>
      </c>
      <c r="E35" t="s">
        <v>44</v>
      </c>
      <c r="F35" t="s">
        <v>340</v>
      </c>
    </row>
    <row r="36" spans="1:6" x14ac:dyDescent="0.25">
      <c r="A36" t="s">
        <v>227</v>
      </c>
      <c r="B36" t="s">
        <v>83</v>
      </c>
      <c r="C36">
        <v>444</v>
      </c>
      <c r="D36">
        <v>78.09</v>
      </c>
      <c r="E36" t="s">
        <v>44</v>
      </c>
      <c r="F36" t="s">
        <v>345</v>
      </c>
    </row>
    <row r="37" spans="1:6" x14ac:dyDescent="0.25">
      <c r="A37" t="s">
        <v>232</v>
      </c>
      <c r="B37" t="s">
        <v>88</v>
      </c>
      <c r="C37">
        <v>492</v>
      </c>
      <c r="D37">
        <v>38.97</v>
      </c>
      <c r="E37" t="s">
        <v>44</v>
      </c>
      <c r="F37" t="s">
        <v>340</v>
      </c>
    </row>
    <row r="38" spans="1:6" x14ac:dyDescent="0.25">
      <c r="A38" t="s">
        <v>234</v>
      </c>
      <c r="B38" t="s">
        <v>90</v>
      </c>
      <c r="C38">
        <v>495</v>
      </c>
      <c r="D38">
        <v>28.82</v>
      </c>
      <c r="E38" t="s">
        <v>44</v>
      </c>
    </row>
    <row r="39" spans="1:6" x14ac:dyDescent="0.25">
      <c r="A39" t="s">
        <v>243</v>
      </c>
      <c r="B39" t="s">
        <v>99</v>
      </c>
      <c r="C39">
        <v>550</v>
      </c>
      <c r="D39">
        <v>26.04</v>
      </c>
      <c r="E39" t="s">
        <v>44</v>
      </c>
    </row>
    <row r="40" spans="1:6" x14ac:dyDescent="0.25">
      <c r="A40" t="s">
        <v>237</v>
      </c>
      <c r="B40" t="s">
        <v>93</v>
      </c>
      <c r="C40">
        <v>530</v>
      </c>
      <c r="D40">
        <v>14.07</v>
      </c>
      <c r="E40" t="s">
        <v>44</v>
      </c>
    </row>
    <row r="41" spans="1:6" x14ac:dyDescent="0.25">
      <c r="A41" t="s">
        <v>236</v>
      </c>
      <c r="B41" t="s">
        <v>92</v>
      </c>
      <c r="C41">
        <v>522</v>
      </c>
      <c r="D41">
        <v>20.170000000000002</v>
      </c>
      <c r="E41" t="s">
        <v>44</v>
      </c>
    </row>
    <row r="42" spans="1:6" x14ac:dyDescent="0.25">
      <c r="A42" t="s">
        <v>235</v>
      </c>
      <c r="B42" t="s">
        <v>91</v>
      </c>
      <c r="C42">
        <v>520</v>
      </c>
      <c r="D42">
        <v>19.52</v>
      </c>
      <c r="E42" t="s">
        <v>44</v>
      </c>
    </row>
    <row r="43" spans="1:6" x14ac:dyDescent="0.25">
      <c r="A43" t="s">
        <v>239</v>
      </c>
      <c r="B43" t="s">
        <v>351</v>
      </c>
      <c r="C43">
        <v>536</v>
      </c>
      <c r="D43">
        <v>42.34</v>
      </c>
      <c r="E43" t="s">
        <v>44</v>
      </c>
      <c r="F43" t="s">
        <v>340</v>
      </c>
    </row>
    <row r="44" spans="1:6" x14ac:dyDescent="0.25">
      <c r="A44" t="s">
        <v>244</v>
      </c>
      <c r="B44" t="s">
        <v>100</v>
      </c>
      <c r="C44">
        <v>560</v>
      </c>
      <c r="D44">
        <v>9.9</v>
      </c>
      <c r="E44" t="s">
        <v>44</v>
      </c>
    </row>
    <row r="45" spans="1:6" x14ac:dyDescent="0.25">
      <c r="A45" t="s">
        <v>247</v>
      </c>
      <c r="B45" t="s">
        <v>103</v>
      </c>
      <c r="C45">
        <v>565</v>
      </c>
      <c r="D45">
        <v>47.62</v>
      </c>
      <c r="E45" t="s">
        <v>44</v>
      </c>
    </row>
    <row r="46" spans="1:6" x14ac:dyDescent="0.25">
      <c r="A46" t="s">
        <v>249</v>
      </c>
      <c r="B46" t="s">
        <v>105</v>
      </c>
      <c r="C46">
        <v>590</v>
      </c>
      <c r="D46">
        <v>72.05</v>
      </c>
      <c r="E46" t="s">
        <v>44</v>
      </c>
    </row>
    <row r="47" spans="1:6" x14ac:dyDescent="0.25">
      <c r="A47" t="s">
        <v>250</v>
      </c>
      <c r="B47" t="s">
        <v>106</v>
      </c>
      <c r="C47">
        <v>610</v>
      </c>
      <c r="D47">
        <v>10.723000000000001</v>
      </c>
      <c r="E47" t="s">
        <v>44</v>
      </c>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44719-B145-49E2-B26D-5AE8DB9D4751}">
  <dimension ref="A1:F40"/>
  <sheetViews>
    <sheetView tabSelected="1" topLeftCell="A10" workbookViewId="0">
      <selection activeCell="L20" sqref="L20"/>
    </sheetView>
  </sheetViews>
  <sheetFormatPr defaultRowHeight="15" x14ac:dyDescent="0.25"/>
  <cols>
    <col min="2" max="2" width="41.28515625" customWidth="1"/>
  </cols>
  <sheetData>
    <row r="1" spans="1:6" x14ac:dyDescent="0.25">
      <c r="A1" t="s">
        <v>372</v>
      </c>
      <c r="B1" t="s">
        <v>373</v>
      </c>
      <c r="C1" t="s">
        <v>349</v>
      </c>
      <c r="D1" t="s">
        <v>348</v>
      </c>
      <c r="E1" t="s">
        <v>346</v>
      </c>
      <c r="F1" t="s">
        <v>339</v>
      </c>
    </row>
    <row r="2" spans="1:6" x14ac:dyDescent="0.25">
      <c r="A2" t="s">
        <v>201</v>
      </c>
      <c r="B2" t="s">
        <v>57</v>
      </c>
      <c r="C2">
        <v>210</v>
      </c>
      <c r="D2">
        <v>9.43</v>
      </c>
      <c r="E2" t="s">
        <v>42</v>
      </c>
    </row>
    <row r="3" spans="1:6" x14ac:dyDescent="0.25">
      <c r="A3" t="s">
        <v>202</v>
      </c>
      <c r="B3" t="s">
        <v>58</v>
      </c>
      <c r="C3">
        <v>220</v>
      </c>
      <c r="D3">
        <v>6.74</v>
      </c>
      <c r="E3" t="s">
        <v>42</v>
      </c>
    </row>
    <row r="4" spans="1:6" x14ac:dyDescent="0.25">
      <c r="A4" t="s">
        <v>208</v>
      </c>
      <c r="B4" t="s">
        <v>64</v>
      </c>
      <c r="C4">
        <v>252</v>
      </c>
      <c r="D4">
        <v>3.24</v>
      </c>
      <c r="E4" t="s">
        <v>42</v>
      </c>
    </row>
    <row r="5" spans="1:6" x14ac:dyDescent="0.25">
      <c r="A5" t="s">
        <v>209</v>
      </c>
      <c r="B5" t="s">
        <v>65</v>
      </c>
      <c r="C5">
        <v>253</v>
      </c>
      <c r="D5">
        <v>2.21</v>
      </c>
      <c r="E5" t="s">
        <v>42</v>
      </c>
    </row>
    <row r="6" spans="1:6" x14ac:dyDescent="0.25">
      <c r="A6" t="s">
        <v>211</v>
      </c>
      <c r="B6" t="s">
        <v>9</v>
      </c>
      <c r="C6">
        <v>310</v>
      </c>
      <c r="D6">
        <v>7.99</v>
      </c>
      <c r="E6" t="s">
        <v>344</v>
      </c>
    </row>
    <row r="7" spans="1:6" x14ac:dyDescent="0.25">
      <c r="A7" t="s">
        <v>214</v>
      </c>
      <c r="B7" t="s">
        <v>10</v>
      </c>
      <c r="C7">
        <v>320</v>
      </c>
      <c r="D7">
        <v>3.35</v>
      </c>
      <c r="E7" t="s">
        <v>344</v>
      </c>
    </row>
    <row r="8" spans="1:6" x14ac:dyDescent="0.25">
      <c r="A8" t="s">
        <v>205</v>
      </c>
      <c r="B8" t="s">
        <v>61</v>
      </c>
      <c r="C8">
        <v>265</v>
      </c>
      <c r="D8">
        <v>8.6300000000000008</v>
      </c>
      <c r="E8" t="s">
        <v>344</v>
      </c>
    </row>
    <row r="9" spans="1:6" x14ac:dyDescent="0.25">
      <c r="A9" t="s">
        <v>169</v>
      </c>
      <c r="B9" t="s">
        <v>11</v>
      </c>
      <c r="C9">
        <v>820</v>
      </c>
      <c r="D9">
        <v>37.01</v>
      </c>
      <c r="E9" t="s">
        <v>44</v>
      </c>
    </row>
    <row r="10" spans="1:6" x14ac:dyDescent="0.25">
      <c r="A10" t="s">
        <v>292</v>
      </c>
      <c r="B10" t="s">
        <v>148</v>
      </c>
      <c r="C10">
        <v>890</v>
      </c>
      <c r="D10">
        <v>6.3</v>
      </c>
      <c r="E10" t="s">
        <v>44</v>
      </c>
    </row>
    <row r="11" spans="1:6" x14ac:dyDescent="0.25">
      <c r="A11" t="s">
        <v>290</v>
      </c>
      <c r="B11" t="s">
        <v>146</v>
      </c>
      <c r="C11">
        <v>880</v>
      </c>
      <c r="D11">
        <v>90.08</v>
      </c>
      <c r="E11" t="s">
        <v>44</v>
      </c>
    </row>
    <row r="12" spans="1:6" x14ac:dyDescent="0.25">
      <c r="A12" t="s">
        <v>283</v>
      </c>
      <c r="B12" t="s">
        <v>14</v>
      </c>
      <c r="C12">
        <v>850</v>
      </c>
      <c r="D12">
        <v>93.84</v>
      </c>
      <c r="E12" t="s">
        <v>44</v>
      </c>
    </row>
    <row r="13" spans="1:6" x14ac:dyDescent="0.25">
      <c r="A13" t="s">
        <v>293</v>
      </c>
      <c r="B13" t="s">
        <v>377</v>
      </c>
      <c r="C13">
        <v>912</v>
      </c>
      <c r="D13">
        <v>100.35</v>
      </c>
      <c r="E13" t="s">
        <v>44</v>
      </c>
    </row>
    <row r="14" spans="1:6" x14ac:dyDescent="0.25">
      <c r="A14" t="s">
        <v>298</v>
      </c>
      <c r="B14" t="s">
        <v>353</v>
      </c>
      <c r="C14">
        <v>932</v>
      </c>
      <c r="D14">
        <v>107.2</v>
      </c>
      <c r="E14" t="s">
        <v>44</v>
      </c>
    </row>
    <row r="15" spans="1:6" x14ac:dyDescent="0.25">
      <c r="A15" t="s">
        <v>299</v>
      </c>
      <c r="B15" t="s">
        <v>155</v>
      </c>
      <c r="C15">
        <v>933</v>
      </c>
      <c r="D15">
        <v>450.49</v>
      </c>
      <c r="E15" t="s">
        <v>44</v>
      </c>
    </row>
    <row r="16" spans="1:6" x14ac:dyDescent="0.25">
      <c r="A16" t="s">
        <v>297</v>
      </c>
      <c r="B16" t="s">
        <v>352</v>
      </c>
      <c r="C16">
        <v>931</v>
      </c>
      <c r="D16">
        <v>83.84</v>
      </c>
      <c r="E16" t="s">
        <v>44</v>
      </c>
    </row>
    <row r="17" spans="1:6" x14ac:dyDescent="0.25">
      <c r="A17" t="s">
        <v>294</v>
      </c>
      <c r="B17" t="s">
        <v>150</v>
      </c>
      <c r="C17">
        <v>925</v>
      </c>
      <c r="D17">
        <v>11.36</v>
      </c>
      <c r="E17" t="s">
        <v>44</v>
      </c>
    </row>
    <row r="18" spans="1:6" x14ac:dyDescent="0.25">
      <c r="A18" t="s">
        <v>280</v>
      </c>
      <c r="B18" t="s">
        <v>137</v>
      </c>
      <c r="C18">
        <v>943</v>
      </c>
      <c r="D18">
        <v>16.600000000000001</v>
      </c>
      <c r="E18" t="s">
        <v>44</v>
      </c>
    </row>
    <row r="19" spans="1:6" x14ac:dyDescent="0.25">
      <c r="A19" t="s">
        <v>268</v>
      </c>
      <c r="B19" t="s">
        <v>125</v>
      </c>
      <c r="C19">
        <v>812</v>
      </c>
      <c r="D19">
        <v>17.05</v>
      </c>
      <c r="E19" t="s">
        <v>44</v>
      </c>
    </row>
    <row r="20" spans="1:6" x14ac:dyDescent="0.25">
      <c r="A20" t="s">
        <v>270</v>
      </c>
      <c r="B20" t="s">
        <v>127</v>
      </c>
      <c r="C20">
        <v>815</v>
      </c>
      <c r="D20">
        <v>53.87</v>
      </c>
      <c r="E20" t="s">
        <v>44</v>
      </c>
    </row>
    <row r="21" spans="1:6" x14ac:dyDescent="0.25">
      <c r="A21" t="s">
        <v>254</v>
      </c>
      <c r="B21" t="s">
        <v>354</v>
      </c>
      <c r="C21">
        <v>710</v>
      </c>
      <c r="D21">
        <v>10.84</v>
      </c>
      <c r="E21" t="s">
        <v>44</v>
      </c>
    </row>
    <row r="22" spans="1:6" x14ac:dyDescent="0.25">
      <c r="A22" t="s">
        <v>258</v>
      </c>
      <c r="B22" t="s">
        <v>114</v>
      </c>
      <c r="C22">
        <v>720</v>
      </c>
      <c r="D22">
        <v>36</v>
      </c>
      <c r="E22" t="s">
        <v>44</v>
      </c>
    </row>
    <row r="23" spans="1:6" x14ac:dyDescent="0.25">
      <c r="A23" t="s">
        <v>184</v>
      </c>
      <c r="B23" t="s">
        <v>26</v>
      </c>
      <c r="C23">
        <v>110</v>
      </c>
      <c r="D23">
        <v>4.87</v>
      </c>
      <c r="E23" t="s">
        <v>44</v>
      </c>
    </row>
    <row r="24" spans="1:6" x14ac:dyDescent="0.25">
      <c r="A24" t="s">
        <v>186</v>
      </c>
      <c r="B24" t="s">
        <v>28</v>
      </c>
      <c r="C24">
        <v>151</v>
      </c>
      <c r="D24">
        <v>1.71</v>
      </c>
      <c r="E24" t="s">
        <v>44</v>
      </c>
    </row>
    <row r="25" spans="1:6" x14ac:dyDescent="0.25">
      <c r="A25" t="s">
        <v>222</v>
      </c>
      <c r="B25" t="s">
        <v>78</v>
      </c>
      <c r="C25">
        <v>411</v>
      </c>
      <c r="D25">
        <v>0.78</v>
      </c>
      <c r="E25" t="s">
        <v>333</v>
      </c>
    </row>
    <row r="26" spans="1:6" x14ac:dyDescent="0.25">
      <c r="A26" t="s">
        <v>224</v>
      </c>
      <c r="B26" t="s">
        <v>80</v>
      </c>
      <c r="C26">
        <v>420</v>
      </c>
      <c r="D26">
        <v>2.41</v>
      </c>
      <c r="E26" t="s">
        <v>338</v>
      </c>
      <c r="F26" t="s">
        <v>345</v>
      </c>
    </row>
    <row r="27" spans="1:6" x14ac:dyDescent="0.25">
      <c r="A27" t="s">
        <v>225</v>
      </c>
      <c r="B27" t="s">
        <v>81</v>
      </c>
      <c r="C27">
        <v>430</v>
      </c>
      <c r="D27">
        <v>30.38</v>
      </c>
      <c r="E27" t="s">
        <v>374</v>
      </c>
    </row>
    <row r="28" spans="1:6" x14ac:dyDescent="0.25">
      <c r="A28" t="s">
        <v>226</v>
      </c>
      <c r="B28" t="s">
        <v>82</v>
      </c>
      <c r="C28">
        <v>437</v>
      </c>
      <c r="D28">
        <v>1.48</v>
      </c>
      <c r="E28" t="s">
        <v>375</v>
      </c>
      <c r="F28" t="s">
        <v>340</v>
      </c>
    </row>
    <row r="29" spans="1:6" x14ac:dyDescent="0.25">
      <c r="A29" t="s">
        <v>227</v>
      </c>
      <c r="B29" t="s">
        <v>83</v>
      </c>
      <c r="C29">
        <v>444</v>
      </c>
      <c r="D29">
        <v>220</v>
      </c>
      <c r="E29" t="s">
        <v>376</v>
      </c>
      <c r="F29" t="s">
        <v>345</v>
      </c>
    </row>
    <row r="30" spans="1:6" x14ac:dyDescent="0.25">
      <c r="A30" t="s">
        <v>232</v>
      </c>
      <c r="B30" t="s">
        <v>88</v>
      </c>
      <c r="C30">
        <v>492</v>
      </c>
      <c r="D30">
        <v>38.97</v>
      </c>
      <c r="E30" t="s">
        <v>44</v>
      </c>
      <c r="F30" t="s">
        <v>340</v>
      </c>
    </row>
    <row r="31" spans="1:6" x14ac:dyDescent="0.25">
      <c r="A31" t="s">
        <v>234</v>
      </c>
      <c r="B31" t="s">
        <v>90</v>
      </c>
      <c r="C31">
        <v>495</v>
      </c>
      <c r="D31">
        <v>28.82</v>
      </c>
      <c r="E31" t="s">
        <v>44</v>
      </c>
    </row>
    <row r="32" spans="1:6" x14ac:dyDescent="0.25">
      <c r="A32" t="s">
        <v>243</v>
      </c>
      <c r="B32" t="s">
        <v>99</v>
      </c>
      <c r="C32">
        <v>550</v>
      </c>
      <c r="D32">
        <v>1.1499999999999999</v>
      </c>
      <c r="E32" t="s">
        <v>46</v>
      </c>
    </row>
    <row r="33" spans="1:6" x14ac:dyDescent="0.25">
      <c r="A33" t="s">
        <v>237</v>
      </c>
      <c r="B33" t="s">
        <v>93</v>
      </c>
      <c r="C33">
        <v>530</v>
      </c>
      <c r="D33">
        <v>1.94</v>
      </c>
      <c r="E33" t="s">
        <v>46</v>
      </c>
    </row>
    <row r="34" spans="1:6" x14ac:dyDescent="0.25">
      <c r="A34" t="s">
        <v>236</v>
      </c>
      <c r="B34" t="s">
        <v>92</v>
      </c>
      <c r="C34">
        <v>522</v>
      </c>
      <c r="D34">
        <v>2.1</v>
      </c>
      <c r="E34" t="s">
        <v>46</v>
      </c>
    </row>
    <row r="35" spans="1:6" x14ac:dyDescent="0.25">
      <c r="A35" t="s">
        <v>235</v>
      </c>
      <c r="B35" t="s">
        <v>91</v>
      </c>
      <c r="C35">
        <v>520</v>
      </c>
      <c r="D35">
        <v>2.27</v>
      </c>
      <c r="E35" t="s">
        <v>46</v>
      </c>
    </row>
    <row r="36" spans="1:6" x14ac:dyDescent="0.25">
      <c r="A36" t="s">
        <v>239</v>
      </c>
      <c r="B36" t="s">
        <v>351</v>
      </c>
      <c r="C36">
        <v>536</v>
      </c>
      <c r="D36">
        <v>2.48</v>
      </c>
      <c r="E36" t="s">
        <v>46</v>
      </c>
      <c r="F36" t="s">
        <v>340</v>
      </c>
    </row>
    <row r="37" spans="1:6" x14ac:dyDescent="0.25">
      <c r="A37" t="s">
        <v>244</v>
      </c>
      <c r="B37" t="s">
        <v>100</v>
      </c>
      <c r="C37">
        <v>560</v>
      </c>
      <c r="D37">
        <v>7.6</v>
      </c>
      <c r="E37" t="s">
        <v>44</v>
      </c>
    </row>
    <row r="38" spans="1:6" x14ac:dyDescent="0.25">
      <c r="A38" t="s">
        <v>247</v>
      </c>
      <c r="B38" t="s">
        <v>103</v>
      </c>
      <c r="C38">
        <v>565</v>
      </c>
      <c r="D38">
        <v>47.62</v>
      </c>
      <c r="E38" t="s">
        <v>44</v>
      </c>
    </row>
    <row r="39" spans="1:6" x14ac:dyDescent="0.25">
      <c r="A39" t="s">
        <v>249</v>
      </c>
      <c r="B39" t="s">
        <v>105</v>
      </c>
      <c r="C39">
        <v>590</v>
      </c>
      <c r="D39">
        <v>72.05</v>
      </c>
      <c r="E39" t="s">
        <v>44</v>
      </c>
    </row>
    <row r="40" spans="1:6" x14ac:dyDescent="0.25">
      <c r="A40" t="s">
        <v>250</v>
      </c>
      <c r="B40" t="s">
        <v>106</v>
      </c>
      <c r="C40">
        <v>610</v>
      </c>
      <c r="D40">
        <v>10.77</v>
      </c>
      <c r="E40" t="s">
        <v>44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FFD004-89BD-4461-90DD-23940889AC29}">
  <dimension ref="A1:B4"/>
  <sheetViews>
    <sheetView workbookViewId="0">
      <selection activeCell="B3" sqref="B3"/>
    </sheetView>
  </sheetViews>
  <sheetFormatPr defaultRowHeight="15" x14ac:dyDescent="0.25"/>
  <cols>
    <col min="1" max="1" width="19.28515625" customWidth="1"/>
    <col min="2" max="2" width="73.28515625" customWidth="1"/>
  </cols>
  <sheetData>
    <row r="1" spans="1:2" x14ac:dyDescent="0.25">
      <c r="A1" t="s">
        <v>339</v>
      </c>
      <c r="B1" t="s">
        <v>355</v>
      </c>
    </row>
    <row r="2" spans="1:2" ht="45" x14ac:dyDescent="0.25">
      <c r="A2" s="18" t="s">
        <v>334</v>
      </c>
      <c r="B2" s="18" t="s">
        <v>356</v>
      </c>
    </row>
    <row r="3" spans="1:2" ht="60" x14ac:dyDescent="0.25">
      <c r="A3" s="18" t="s">
        <v>340</v>
      </c>
      <c r="B3" s="18" t="s">
        <v>357</v>
      </c>
    </row>
    <row r="4" spans="1:2" ht="45" x14ac:dyDescent="0.25">
      <c r="A4" s="18" t="s">
        <v>358</v>
      </c>
      <c r="B4" s="18" t="s">
        <v>359</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160ED-ADEC-4EC7-AF5D-CA210C03965A}">
  <dimension ref="A1:C7"/>
  <sheetViews>
    <sheetView workbookViewId="0">
      <selection activeCell="B8" sqref="B8"/>
    </sheetView>
  </sheetViews>
  <sheetFormatPr defaultRowHeight="15" x14ac:dyDescent="0.25"/>
  <cols>
    <col min="1" max="1" width="9.85546875" customWidth="1"/>
    <col min="2" max="2" width="24.5703125" customWidth="1"/>
  </cols>
  <sheetData>
    <row r="1" spans="1:3" x14ac:dyDescent="0.25">
      <c r="A1" t="s">
        <v>346</v>
      </c>
      <c r="B1" t="s">
        <v>361</v>
      </c>
      <c r="C1" t="s">
        <v>365</v>
      </c>
    </row>
    <row r="2" spans="1:3" x14ac:dyDescent="0.25">
      <c r="A2" t="s">
        <v>333</v>
      </c>
      <c r="B2" t="s">
        <v>333</v>
      </c>
      <c r="C2" t="s">
        <v>366</v>
      </c>
    </row>
    <row r="3" spans="1:3" x14ac:dyDescent="0.25">
      <c r="A3" t="s">
        <v>338</v>
      </c>
      <c r="B3" t="s">
        <v>364</v>
      </c>
      <c r="C3" t="s">
        <v>367</v>
      </c>
    </row>
    <row r="4" spans="1:3" x14ac:dyDescent="0.25">
      <c r="A4" t="s">
        <v>42</v>
      </c>
      <c r="B4" t="s">
        <v>360</v>
      </c>
      <c r="C4" t="s">
        <v>371</v>
      </c>
    </row>
    <row r="5" spans="1:3" x14ac:dyDescent="0.25">
      <c r="A5" t="s">
        <v>44</v>
      </c>
      <c r="B5" t="s">
        <v>362</v>
      </c>
      <c r="C5" t="s">
        <v>370</v>
      </c>
    </row>
    <row r="6" spans="1:3" x14ac:dyDescent="0.25">
      <c r="A6" t="s">
        <v>335</v>
      </c>
      <c r="B6" t="s">
        <v>363</v>
      </c>
      <c r="C6" t="s">
        <v>369</v>
      </c>
    </row>
    <row r="7" spans="1:3" x14ac:dyDescent="0.25">
      <c r="A7" t="s">
        <v>344</v>
      </c>
      <c r="B7" t="s">
        <v>344</v>
      </c>
      <c r="C7" t="s">
        <v>368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F8E74-9EA0-439D-8AB3-EB1BD26461D1}">
  <dimension ref="A1:U51"/>
  <sheetViews>
    <sheetView topLeftCell="A13" workbookViewId="0">
      <selection activeCell="L40" sqref="L40"/>
    </sheetView>
  </sheetViews>
  <sheetFormatPr defaultRowHeight="15" x14ac:dyDescent="0.25"/>
  <cols>
    <col min="1" max="1" width="5.7109375" customWidth="1"/>
    <col min="3" max="3" width="38.42578125" customWidth="1"/>
    <col min="5" max="5" width="10" bestFit="1" customWidth="1"/>
    <col min="6" max="6" width="10.85546875" customWidth="1"/>
    <col min="7" max="7" width="19" customWidth="1"/>
  </cols>
  <sheetData>
    <row r="1" spans="1:13" x14ac:dyDescent="0.25">
      <c r="F1" t="s">
        <v>341</v>
      </c>
    </row>
    <row r="2" spans="1:13" ht="18.75" x14ac:dyDescent="0.3">
      <c r="B2" s="17" t="s">
        <v>331</v>
      </c>
      <c r="C2" s="3"/>
      <c r="D2" s="3"/>
      <c r="E2" s="3"/>
      <c r="F2" s="3"/>
      <c r="G2" s="3"/>
    </row>
    <row r="3" spans="1:13" x14ac:dyDescent="0.25">
      <c r="A3">
        <v>1</v>
      </c>
      <c r="B3" t="s">
        <v>201</v>
      </c>
      <c r="C3" t="s">
        <v>57</v>
      </c>
      <c r="D3" s="10">
        <v>210</v>
      </c>
      <c r="E3" t="s">
        <v>42</v>
      </c>
      <c r="H3">
        <v>9.44</v>
      </c>
      <c r="I3" t="s">
        <v>42</v>
      </c>
      <c r="L3">
        <v>9.44</v>
      </c>
      <c r="M3" t="s">
        <v>42</v>
      </c>
    </row>
    <row r="4" spans="1:13" x14ac:dyDescent="0.25">
      <c r="A4">
        <v>2</v>
      </c>
      <c r="B4" t="s">
        <v>202</v>
      </c>
      <c r="C4" t="s">
        <v>58</v>
      </c>
      <c r="D4" s="10">
        <v>220</v>
      </c>
      <c r="E4" t="s">
        <v>42</v>
      </c>
      <c r="H4">
        <v>7.32</v>
      </c>
      <c r="I4" t="s">
        <v>42</v>
      </c>
      <c r="L4">
        <v>7.32</v>
      </c>
      <c r="M4" t="s">
        <v>42</v>
      </c>
    </row>
    <row r="5" spans="1:13" x14ac:dyDescent="0.25">
      <c r="A5">
        <v>3</v>
      </c>
      <c r="B5" t="s">
        <v>208</v>
      </c>
      <c r="C5" t="s">
        <v>64</v>
      </c>
      <c r="D5" s="10">
        <v>252</v>
      </c>
      <c r="E5" t="s">
        <v>42</v>
      </c>
      <c r="H5">
        <v>3.7</v>
      </c>
      <c r="I5" t="s">
        <v>42</v>
      </c>
      <c r="L5">
        <v>3.7</v>
      </c>
      <c r="M5" t="s">
        <v>42</v>
      </c>
    </row>
    <row r="6" spans="1:13" x14ac:dyDescent="0.25">
      <c r="A6">
        <v>4</v>
      </c>
      <c r="B6" t="s">
        <v>209</v>
      </c>
      <c r="C6" t="s">
        <v>65</v>
      </c>
      <c r="D6" s="10">
        <v>253</v>
      </c>
      <c r="E6" t="s">
        <v>42</v>
      </c>
      <c r="H6">
        <v>2.02</v>
      </c>
      <c r="I6" t="s">
        <v>42</v>
      </c>
      <c r="L6">
        <v>2.02</v>
      </c>
      <c r="M6" t="s">
        <v>42</v>
      </c>
    </row>
    <row r="7" spans="1:13" ht="18.75" x14ac:dyDescent="0.3">
      <c r="B7" s="11" t="s">
        <v>327</v>
      </c>
      <c r="C7" s="5"/>
      <c r="D7" s="5"/>
      <c r="E7" s="5"/>
      <c r="F7" s="5"/>
      <c r="G7" s="5"/>
    </row>
    <row r="8" spans="1:13" x14ac:dyDescent="0.25">
      <c r="A8">
        <v>5</v>
      </c>
      <c r="B8" t="s">
        <v>211</v>
      </c>
      <c r="C8" t="s">
        <v>9</v>
      </c>
      <c r="D8">
        <v>310</v>
      </c>
      <c r="E8" t="s">
        <v>302</v>
      </c>
      <c r="H8">
        <v>8.36</v>
      </c>
      <c r="I8" t="s">
        <v>43</v>
      </c>
      <c r="L8">
        <v>8.36</v>
      </c>
      <c r="M8" t="s">
        <v>43</v>
      </c>
    </row>
    <row r="9" spans="1:13" x14ac:dyDescent="0.25">
      <c r="A9">
        <v>6</v>
      </c>
      <c r="B9" t="s">
        <v>214</v>
      </c>
      <c r="C9" t="s">
        <v>10</v>
      </c>
      <c r="D9">
        <v>320</v>
      </c>
      <c r="E9" t="s">
        <v>302</v>
      </c>
      <c r="H9">
        <v>3.35</v>
      </c>
      <c r="I9" t="s">
        <v>43</v>
      </c>
      <c r="L9">
        <v>3.35</v>
      </c>
      <c r="M9" t="s">
        <v>43</v>
      </c>
    </row>
    <row r="10" spans="1:13" ht="18.75" x14ac:dyDescent="0.3">
      <c r="B10" s="12" t="s">
        <v>328</v>
      </c>
      <c r="C10" s="9"/>
      <c r="D10" s="9"/>
      <c r="E10" s="9"/>
      <c r="F10" s="9"/>
      <c r="G10" s="9"/>
    </row>
    <row r="11" spans="1:13" x14ac:dyDescent="0.25">
      <c r="A11">
        <v>7</v>
      </c>
      <c r="B11" t="s">
        <v>169</v>
      </c>
      <c r="C11" t="s">
        <v>11</v>
      </c>
      <c r="D11" s="10">
        <v>820</v>
      </c>
      <c r="E11" t="s">
        <v>44</v>
      </c>
      <c r="H11">
        <v>37.75</v>
      </c>
      <c r="I11" t="s">
        <v>44</v>
      </c>
      <c r="J11" t="s">
        <v>332</v>
      </c>
      <c r="L11">
        <v>37.75</v>
      </c>
      <c r="M11" t="s">
        <v>44</v>
      </c>
    </row>
    <row r="12" spans="1:13" x14ac:dyDescent="0.25">
      <c r="A12">
        <v>8</v>
      </c>
      <c r="B12" t="s">
        <v>292</v>
      </c>
      <c r="C12" t="s">
        <v>148</v>
      </c>
      <c r="D12">
        <v>890</v>
      </c>
      <c r="E12" t="s">
        <v>302</v>
      </c>
      <c r="H12">
        <v>6.3</v>
      </c>
      <c r="I12" t="s">
        <v>44</v>
      </c>
      <c r="L12">
        <v>6.3</v>
      </c>
      <c r="M12" t="s">
        <v>44</v>
      </c>
    </row>
    <row r="13" spans="1:13" x14ac:dyDescent="0.25">
      <c r="A13">
        <v>9</v>
      </c>
      <c r="B13" t="s">
        <v>290</v>
      </c>
      <c r="C13" t="s">
        <v>146</v>
      </c>
      <c r="D13">
        <v>880</v>
      </c>
      <c r="E13" t="s">
        <v>44</v>
      </c>
      <c r="H13">
        <v>90.08</v>
      </c>
      <c r="I13" t="s">
        <v>44</v>
      </c>
      <c r="L13">
        <v>90.08</v>
      </c>
      <c r="M13" t="s">
        <v>44</v>
      </c>
    </row>
    <row r="14" spans="1:13" x14ac:dyDescent="0.25">
      <c r="A14">
        <v>10</v>
      </c>
      <c r="B14" t="s">
        <v>283</v>
      </c>
      <c r="C14" t="s">
        <v>14</v>
      </c>
      <c r="D14">
        <v>850</v>
      </c>
      <c r="E14" t="s">
        <v>44</v>
      </c>
      <c r="H14">
        <v>106.78</v>
      </c>
      <c r="I14" t="s">
        <v>44</v>
      </c>
      <c r="L14">
        <v>106.78</v>
      </c>
      <c r="M14" t="s">
        <v>44</v>
      </c>
    </row>
    <row r="15" spans="1:13" x14ac:dyDescent="0.25">
      <c r="A15">
        <v>11</v>
      </c>
      <c r="B15" t="s">
        <v>293</v>
      </c>
      <c r="C15" t="s">
        <v>149</v>
      </c>
      <c r="D15" s="10">
        <v>911</v>
      </c>
      <c r="E15" t="s">
        <v>40</v>
      </c>
      <c r="H15">
        <v>12.13</v>
      </c>
      <c r="I15" t="s">
        <v>44</v>
      </c>
      <c r="L15">
        <v>12.13</v>
      </c>
      <c r="M15" t="s">
        <v>44</v>
      </c>
    </row>
    <row r="16" spans="1:13" x14ac:dyDescent="0.25">
      <c r="A16">
        <v>12</v>
      </c>
      <c r="B16" t="s">
        <v>298</v>
      </c>
      <c r="C16" t="s">
        <v>154</v>
      </c>
      <c r="D16">
        <v>932</v>
      </c>
      <c r="E16" t="s">
        <v>44</v>
      </c>
      <c r="H16">
        <v>112.18</v>
      </c>
      <c r="I16" t="s">
        <v>44</v>
      </c>
      <c r="L16">
        <v>112.18</v>
      </c>
      <c r="M16" t="s">
        <v>44</v>
      </c>
    </row>
    <row r="17" spans="1:13" x14ac:dyDescent="0.25">
      <c r="A17">
        <v>13</v>
      </c>
      <c r="B17" t="s">
        <v>299</v>
      </c>
      <c r="C17" t="s">
        <v>155</v>
      </c>
      <c r="D17" s="10">
        <v>933</v>
      </c>
      <c r="E17" t="s">
        <v>44</v>
      </c>
      <c r="H17">
        <v>346.23</v>
      </c>
      <c r="I17" t="s">
        <v>44</v>
      </c>
      <c r="L17">
        <v>346.23</v>
      </c>
      <c r="M17" t="s">
        <v>44</v>
      </c>
    </row>
    <row r="18" spans="1:13" x14ac:dyDescent="0.25">
      <c r="A18">
        <v>14</v>
      </c>
      <c r="B18" t="s">
        <v>297</v>
      </c>
      <c r="C18" t="s">
        <v>153</v>
      </c>
      <c r="D18">
        <v>931</v>
      </c>
      <c r="E18" t="s">
        <v>44</v>
      </c>
      <c r="H18">
        <v>83.84</v>
      </c>
      <c r="I18" t="s">
        <v>44</v>
      </c>
      <c r="L18">
        <v>83.84</v>
      </c>
      <c r="M18" t="s">
        <v>44</v>
      </c>
    </row>
    <row r="19" spans="1:13" x14ac:dyDescent="0.25">
      <c r="A19">
        <v>15</v>
      </c>
      <c r="B19" t="s">
        <v>294</v>
      </c>
      <c r="C19" t="s">
        <v>150</v>
      </c>
      <c r="D19">
        <v>925</v>
      </c>
      <c r="E19" t="s">
        <v>40</v>
      </c>
      <c r="H19">
        <v>11.36</v>
      </c>
      <c r="I19" t="s">
        <v>44</v>
      </c>
      <c r="L19">
        <v>11.36</v>
      </c>
      <c r="M19" t="s">
        <v>44</v>
      </c>
    </row>
    <row r="20" spans="1:13" x14ac:dyDescent="0.25">
      <c r="A20">
        <v>16</v>
      </c>
      <c r="B20" t="s">
        <v>280</v>
      </c>
      <c r="C20" t="s">
        <v>137</v>
      </c>
      <c r="D20" s="10">
        <v>943</v>
      </c>
      <c r="E20" t="s">
        <v>44</v>
      </c>
      <c r="H20">
        <v>16.28</v>
      </c>
      <c r="I20" t="s">
        <v>44</v>
      </c>
      <c r="L20">
        <v>16.28</v>
      </c>
      <c r="M20" t="s">
        <v>44</v>
      </c>
    </row>
    <row r="21" spans="1:13" x14ac:dyDescent="0.25">
      <c r="A21">
        <v>17</v>
      </c>
      <c r="B21" t="s">
        <v>268</v>
      </c>
      <c r="C21" t="s">
        <v>125</v>
      </c>
      <c r="D21" s="10">
        <v>812</v>
      </c>
      <c r="E21" t="s">
        <v>44</v>
      </c>
      <c r="H21">
        <v>18.05</v>
      </c>
      <c r="I21" t="s">
        <v>44</v>
      </c>
      <c r="L21">
        <v>18.05</v>
      </c>
      <c r="M21" t="s">
        <v>44</v>
      </c>
    </row>
    <row r="22" spans="1:13" x14ac:dyDescent="0.25">
      <c r="A22">
        <v>18</v>
      </c>
      <c r="B22" t="s">
        <v>270</v>
      </c>
      <c r="C22" t="s">
        <v>127</v>
      </c>
      <c r="D22">
        <v>815</v>
      </c>
      <c r="E22" t="s">
        <v>44</v>
      </c>
      <c r="H22">
        <v>53.12</v>
      </c>
      <c r="I22" t="s">
        <v>44</v>
      </c>
      <c r="L22">
        <v>53.12</v>
      </c>
      <c r="M22" t="s">
        <v>44</v>
      </c>
    </row>
    <row r="23" spans="1:13" x14ac:dyDescent="0.25">
      <c r="A23">
        <v>19</v>
      </c>
      <c r="B23" t="s">
        <v>254</v>
      </c>
      <c r="C23" t="s">
        <v>110</v>
      </c>
      <c r="D23">
        <v>710</v>
      </c>
      <c r="E23" t="s">
        <v>44</v>
      </c>
      <c r="H23">
        <v>9.74</v>
      </c>
      <c r="I23" t="s">
        <v>44</v>
      </c>
      <c r="L23">
        <v>9.74</v>
      </c>
      <c r="M23" t="s">
        <v>44</v>
      </c>
    </row>
    <row r="24" spans="1:13" x14ac:dyDescent="0.25">
      <c r="A24">
        <v>20</v>
      </c>
      <c r="B24" t="s">
        <v>258</v>
      </c>
      <c r="C24" t="s">
        <v>114</v>
      </c>
      <c r="D24">
        <v>720</v>
      </c>
      <c r="E24" t="s">
        <v>44</v>
      </c>
      <c r="H24">
        <v>34.799999999999997</v>
      </c>
      <c r="I24" t="s">
        <v>44</v>
      </c>
      <c r="L24">
        <v>34.799999999999997</v>
      </c>
      <c r="M24" t="s">
        <v>44</v>
      </c>
    </row>
    <row r="25" spans="1:13" x14ac:dyDescent="0.25">
      <c r="A25">
        <v>21</v>
      </c>
      <c r="B25" t="s">
        <v>184</v>
      </c>
      <c r="C25" t="s">
        <v>26</v>
      </c>
      <c r="D25">
        <v>110</v>
      </c>
      <c r="E25" t="s">
        <v>44</v>
      </c>
      <c r="H25">
        <v>4.96</v>
      </c>
      <c r="I25" t="s">
        <v>44</v>
      </c>
      <c r="L25">
        <v>4.96</v>
      </c>
      <c r="M25" t="s">
        <v>44</v>
      </c>
    </row>
    <row r="26" spans="1:13" x14ac:dyDescent="0.25">
      <c r="A26">
        <v>22</v>
      </c>
      <c r="B26" t="s">
        <v>186</v>
      </c>
      <c r="C26" t="s">
        <v>28</v>
      </c>
      <c r="D26">
        <v>151</v>
      </c>
      <c r="E26" t="s">
        <v>44</v>
      </c>
      <c r="H26">
        <v>1.51</v>
      </c>
      <c r="I26" t="s">
        <v>44</v>
      </c>
      <c r="L26">
        <v>1.51</v>
      </c>
      <c r="M26" t="s">
        <v>44</v>
      </c>
    </row>
    <row r="27" spans="1:13" x14ac:dyDescent="0.25">
      <c r="A27">
        <v>23</v>
      </c>
      <c r="B27" t="s">
        <v>266</v>
      </c>
      <c r="C27" t="s">
        <v>122</v>
      </c>
      <c r="E27" t="s">
        <v>40</v>
      </c>
      <c r="F27" t="s">
        <v>334</v>
      </c>
      <c r="L27" s="10"/>
    </row>
    <row r="28" spans="1:13" x14ac:dyDescent="0.25">
      <c r="A28">
        <v>24</v>
      </c>
      <c r="B28" t="s">
        <v>267</v>
      </c>
      <c r="C28" t="s">
        <v>123</v>
      </c>
      <c r="E28" t="s">
        <v>40</v>
      </c>
      <c r="F28" t="s">
        <v>334</v>
      </c>
      <c r="L28" s="10"/>
    </row>
    <row r="29" spans="1:13" x14ac:dyDescent="0.25">
      <c r="A29">
        <v>25</v>
      </c>
      <c r="B29" t="s">
        <v>277</v>
      </c>
      <c r="C29" t="s">
        <v>134</v>
      </c>
      <c r="D29">
        <v>840</v>
      </c>
      <c r="E29" t="s">
        <v>44</v>
      </c>
      <c r="H29">
        <v>27.84</v>
      </c>
      <c r="I29" t="s">
        <v>44</v>
      </c>
      <c r="L29">
        <v>27.84</v>
      </c>
      <c r="M29" t="s">
        <v>44</v>
      </c>
    </row>
    <row r="30" spans="1:13" ht="18.75" x14ac:dyDescent="0.3">
      <c r="B30" s="13" t="s">
        <v>329</v>
      </c>
      <c r="C30" s="7"/>
      <c r="D30" s="7"/>
      <c r="E30" s="7"/>
      <c r="F30" s="7"/>
      <c r="G30" s="7"/>
    </row>
    <row r="31" spans="1:13" x14ac:dyDescent="0.25">
      <c r="A31">
        <v>26</v>
      </c>
      <c r="B31" t="s">
        <v>216</v>
      </c>
      <c r="C31" t="s">
        <v>71</v>
      </c>
      <c r="E31" t="s">
        <v>40</v>
      </c>
      <c r="F31" t="s">
        <v>334</v>
      </c>
      <c r="L31" s="10"/>
    </row>
    <row r="32" spans="1:13" x14ac:dyDescent="0.25">
      <c r="A32">
        <v>27</v>
      </c>
      <c r="B32" t="s">
        <v>326</v>
      </c>
      <c r="C32" t="s">
        <v>325</v>
      </c>
      <c r="E32" t="s">
        <v>40</v>
      </c>
      <c r="F32" t="s">
        <v>334</v>
      </c>
      <c r="L32" s="10"/>
    </row>
    <row r="33" spans="1:21" x14ac:dyDescent="0.25">
      <c r="A33">
        <v>28</v>
      </c>
      <c r="B33" t="s">
        <v>221</v>
      </c>
      <c r="C33" t="s">
        <v>76</v>
      </c>
      <c r="D33" t="s">
        <v>77</v>
      </c>
      <c r="E33" t="s">
        <v>40</v>
      </c>
      <c r="F33" t="s">
        <v>334</v>
      </c>
      <c r="L33" s="10"/>
    </row>
    <row r="34" spans="1:21" x14ac:dyDescent="0.25">
      <c r="A34">
        <v>29</v>
      </c>
      <c r="B34" t="s">
        <v>222</v>
      </c>
      <c r="C34" t="s">
        <v>78</v>
      </c>
      <c r="D34">
        <v>411</v>
      </c>
      <c r="E34" t="s">
        <v>306</v>
      </c>
      <c r="H34">
        <v>0.78</v>
      </c>
      <c r="I34" t="s">
        <v>333</v>
      </c>
      <c r="L34">
        <v>0.78</v>
      </c>
      <c r="M34" t="s">
        <v>333</v>
      </c>
    </row>
    <row r="35" spans="1:21" x14ac:dyDescent="0.25">
      <c r="A35">
        <v>30</v>
      </c>
      <c r="B35" t="s">
        <v>223</v>
      </c>
      <c r="C35" t="s">
        <v>79</v>
      </c>
      <c r="D35">
        <v>416</v>
      </c>
      <c r="E35" t="s">
        <v>40</v>
      </c>
      <c r="F35" t="s">
        <v>340</v>
      </c>
      <c r="H35" t="s">
        <v>334</v>
      </c>
      <c r="L35">
        <v>12.57</v>
      </c>
      <c r="M35" t="s">
        <v>335</v>
      </c>
      <c r="O35">
        <v>0.48</v>
      </c>
      <c r="P35" t="s">
        <v>335</v>
      </c>
      <c r="Q35" t="s">
        <v>336</v>
      </c>
      <c r="R35">
        <v>0.98</v>
      </c>
      <c r="S35" t="s">
        <v>335</v>
      </c>
      <c r="T35" t="s">
        <v>337</v>
      </c>
      <c r="U35">
        <f>L35/AVERAGE(R35,O35)</f>
        <v>17.219178082191782</v>
      </c>
    </row>
    <row r="36" spans="1:21" x14ac:dyDescent="0.25">
      <c r="A36">
        <v>31</v>
      </c>
      <c r="B36" t="s">
        <v>224</v>
      </c>
      <c r="C36" t="s">
        <v>80</v>
      </c>
      <c r="D36">
        <v>420</v>
      </c>
      <c r="E36" t="s">
        <v>40</v>
      </c>
      <c r="H36">
        <v>2.41</v>
      </c>
      <c r="I36" t="s">
        <v>338</v>
      </c>
      <c r="L36">
        <v>2.41</v>
      </c>
      <c r="M36" t="s">
        <v>338</v>
      </c>
      <c r="O36">
        <v>7.0000000000000007E-2</v>
      </c>
      <c r="P36" t="s">
        <v>338</v>
      </c>
      <c r="R36">
        <v>0.21</v>
      </c>
      <c r="S36" t="s">
        <v>338</v>
      </c>
      <c r="U36">
        <v>2.41</v>
      </c>
    </row>
    <row r="37" spans="1:21" x14ac:dyDescent="0.25">
      <c r="A37">
        <v>32</v>
      </c>
      <c r="B37" t="s">
        <v>225</v>
      </c>
      <c r="C37" t="s">
        <v>81</v>
      </c>
      <c r="D37">
        <v>430</v>
      </c>
      <c r="E37" t="s">
        <v>307</v>
      </c>
      <c r="H37">
        <v>3.74</v>
      </c>
      <c r="I37" t="s">
        <v>333</v>
      </c>
      <c r="L37">
        <v>3.74</v>
      </c>
      <c r="M37" t="s">
        <v>333</v>
      </c>
    </row>
    <row r="38" spans="1:21" x14ac:dyDescent="0.25">
      <c r="A38">
        <v>33</v>
      </c>
      <c r="B38" t="s">
        <v>226</v>
      </c>
      <c r="C38" t="s">
        <v>82</v>
      </c>
      <c r="D38">
        <v>437</v>
      </c>
      <c r="E38" t="s">
        <v>40</v>
      </c>
      <c r="F38" t="s">
        <v>340</v>
      </c>
      <c r="H38" t="s">
        <v>334</v>
      </c>
      <c r="L38">
        <v>24.07</v>
      </c>
      <c r="M38" t="s">
        <v>44</v>
      </c>
      <c r="O38">
        <v>0.81</v>
      </c>
      <c r="P38" t="s">
        <v>44</v>
      </c>
      <c r="Q38" t="s">
        <v>336</v>
      </c>
      <c r="R38">
        <v>1.1599999999999999</v>
      </c>
      <c r="S38" t="s">
        <v>44</v>
      </c>
      <c r="T38" t="s">
        <v>337</v>
      </c>
      <c r="U38">
        <f>L38/AVERAGE(R38,O38)</f>
        <v>24.436548223350254</v>
      </c>
    </row>
    <row r="39" spans="1:21" x14ac:dyDescent="0.25">
      <c r="A39">
        <v>34</v>
      </c>
      <c r="B39" t="s">
        <v>227</v>
      </c>
      <c r="C39" t="s">
        <v>83</v>
      </c>
      <c r="D39">
        <v>444</v>
      </c>
      <c r="E39" t="s">
        <v>40</v>
      </c>
      <c r="H39">
        <v>78.09</v>
      </c>
      <c r="I39" t="s">
        <v>44</v>
      </c>
      <c r="L39">
        <v>78.09</v>
      </c>
      <c r="M39" t="s">
        <v>44</v>
      </c>
      <c r="O39">
        <v>0.22</v>
      </c>
      <c r="P39" t="s">
        <v>44</v>
      </c>
      <c r="Q39" t="s">
        <v>336</v>
      </c>
      <c r="R39">
        <v>6.17</v>
      </c>
      <c r="S39" t="s">
        <v>44</v>
      </c>
      <c r="T39" t="s">
        <v>337</v>
      </c>
      <c r="U39">
        <v>78.09</v>
      </c>
    </row>
    <row r="40" spans="1:21" x14ac:dyDescent="0.25">
      <c r="A40">
        <v>35</v>
      </c>
      <c r="B40" t="s">
        <v>232</v>
      </c>
      <c r="C40" t="s">
        <v>88</v>
      </c>
      <c r="D40">
        <v>492</v>
      </c>
      <c r="E40" t="s">
        <v>40</v>
      </c>
      <c r="I40" t="s">
        <v>44</v>
      </c>
      <c r="L40">
        <f>ROUND(AVERAGE(O40,R40)*U41,2)</f>
        <v>38.97</v>
      </c>
      <c r="M40" t="s">
        <v>44</v>
      </c>
      <c r="O40">
        <v>1.31</v>
      </c>
      <c r="P40" t="s">
        <v>44</v>
      </c>
      <c r="Q40" t="s">
        <v>336</v>
      </c>
      <c r="R40">
        <v>3.45</v>
      </c>
      <c r="S40" t="s">
        <v>44</v>
      </c>
      <c r="T40" t="s">
        <v>337</v>
      </c>
    </row>
    <row r="41" spans="1:21" x14ac:dyDescent="0.25">
      <c r="A41">
        <v>36</v>
      </c>
      <c r="B41" t="s">
        <v>234</v>
      </c>
      <c r="C41" t="s">
        <v>90</v>
      </c>
      <c r="D41">
        <v>495</v>
      </c>
      <c r="E41" t="s">
        <v>44</v>
      </c>
      <c r="H41">
        <v>28.82</v>
      </c>
      <c r="I41" t="s">
        <v>44</v>
      </c>
      <c r="L41">
        <v>28.82</v>
      </c>
      <c r="M41" t="s">
        <v>44</v>
      </c>
      <c r="O41">
        <v>1.76</v>
      </c>
      <c r="S41">
        <v>2.31</v>
      </c>
      <c r="U41">
        <f>L41/AVERAGE(R41,O41)</f>
        <v>16.375</v>
      </c>
    </row>
    <row r="42" spans="1:21" ht="18.75" x14ac:dyDescent="0.3">
      <c r="B42" s="14" t="s">
        <v>330</v>
      </c>
      <c r="C42" s="15"/>
      <c r="D42" s="15"/>
      <c r="E42" s="15"/>
      <c r="F42" s="15"/>
      <c r="G42" s="15"/>
    </row>
    <row r="43" spans="1:21" x14ac:dyDescent="0.25">
      <c r="A43">
        <v>37</v>
      </c>
      <c r="B43" t="s">
        <v>243</v>
      </c>
      <c r="C43" t="s">
        <v>99</v>
      </c>
      <c r="D43">
        <v>550</v>
      </c>
      <c r="E43" t="s">
        <v>309</v>
      </c>
      <c r="H43">
        <v>26.04</v>
      </c>
      <c r="I43" t="s">
        <v>44</v>
      </c>
      <c r="L43">
        <v>26.04</v>
      </c>
      <c r="M43" t="s">
        <v>44</v>
      </c>
    </row>
    <row r="44" spans="1:21" x14ac:dyDescent="0.25">
      <c r="A44">
        <v>38</v>
      </c>
      <c r="B44" t="s">
        <v>237</v>
      </c>
      <c r="C44" t="s">
        <v>93</v>
      </c>
      <c r="D44">
        <v>530</v>
      </c>
      <c r="E44" t="s">
        <v>302</v>
      </c>
      <c r="H44">
        <v>14.07</v>
      </c>
      <c r="I44" t="s">
        <v>44</v>
      </c>
      <c r="L44">
        <v>14.07</v>
      </c>
      <c r="M44" t="s">
        <v>44</v>
      </c>
      <c r="O44">
        <v>3.38</v>
      </c>
      <c r="R44">
        <v>0.97</v>
      </c>
      <c r="U44">
        <v>6.4689655172413802</v>
      </c>
    </row>
    <row r="45" spans="1:21" x14ac:dyDescent="0.25">
      <c r="A45">
        <v>39</v>
      </c>
      <c r="B45" t="s">
        <v>236</v>
      </c>
      <c r="C45" t="s">
        <v>92</v>
      </c>
      <c r="D45">
        <v>522</v>
      </c>
      <c r="E45" t="s">
        <v>302</v>
      </c>
      <c r="H45">
        <v>20.170000000000002</v>
      </c>
      <c r="I45" t="s">
        <v>44</v>
      </c>
      <c r="L45">
        <v>20.170000000000002</v>
      </c>
      <c r="M45" t="s">
        <v>44</v>
      </c>
      <c r="R45">
        <v>1.19</v>
      </c>
      <c r="U45">
        <v>16.949579831932777</v>
      </c>
    </row>
    <row r="46" spans="1:21" x14ac:dyDescent="0.25">
      <c r="A46">
        <v>40</v>
      </c>
      <c r="B46" t="s">
        <v>235</v>
      </c>
      <c r="C46" t="s">
        <v>91</v>
      </c>
      <c r="D46">
        <v>520</v>
      </c>
      <c r="E46" t="s">
        <v>302</v>
      </c>
      <c r="H46">
        <v>19.52</v>
      </c>
      <c r="I46" t="s">
        <v>44</v>
      </c>
      <c r="L46">
        <v>19.52</v>
      </c>
      <c r="M46" t="s">
        <v>44</v>
      </c>
      <c r="O46">
        <v>6.97</v>
      </c>
      <c r="R46">
        <v>1.37</v>
      </c>
      <c r="U46">
        <v>4.6810551558753</v>
      </c>
    </row>
    <row r="47" spans="1:21" x14ac:dyDescent="0.25">
      <c r="A47">
        <v>41</v>
      </c>
      <c r="B47" t="s">
        <v>239</v>
      </c>
      <c r="C47" t="s">
        <v>95</v>
      </c>
      <c r="D47">
        <v>536</v>
      </c>
      <c r="E47" t="s">
        <v>302</v>
      </c>
      <c r="F47" t="s">
        <v>340</v>
      </c>
      <c r="H47" t="s">
        <v>334</v>
      </c>
      <c r="O47">
        <v>3.54</v>
      </c>
      <c r="P47" t="s">
        <v>44</v>
      </c>
      <c r="Q47" t="s">
        <v>336</v>
      </c>
      <c r="R47">
        <v>5.5</v>
      </c>
      <c r="S47" t="s">
        <v>337</v>
      </c>
      <c r="U47">
        <v>9.3665335016831524</v>
      </c>
    </row>
    <row r="48" spans="1:21" x14ac:dyDescent="0.25">
      <c r="A48">
        <v>42</v>
      </c>
      <c r="B48" t="s">
        <v>244</v>
      </c>
      <c r="C48" t="s">
        <v>100</v>
      </c>
      <c r="D48">
        <v>560</v>
      </c>
      <c r="E48" t="s">
        <v>44</v>
      </c>
      <c r="H48">
        <v>6.95</v>
      </c>
      <c r="I48" t="s">
        <v>44</v>
      </c>
      <c r="L48">
        <v>6.95</v>
      </c>
      <c r="M48" t="s">
        <v>44</v>
      </c>
      <c r="O48">
        <v>6.95</v>
      </c>
      <c r="P48">
        <v>6</v>
      </c>
      <c r="Q48">
        <v>27.63</v>
      </c>
      <c r="R48">
        <v>1</v>
      </c>
      <c r="S48">
        <f>O48*P48+Q48*R48</f>
        <v>69.33</v>
      </c>
      <c r="T48">
        <f>S48/7</f>
        <v>9.9042857142857148</v>
      </c>
    </row>
    <row r="49" spans="1:13" x14ac:dyDescent="0.25">
      <c r="A49">
        <v>43</v>
      </c>
      <c r="B49" t="s">
        <v>247</v>
      </c>
      <c r="C49" t="s">
        <v>103</v>
      </c>
      <c r="D49">
        <v>565</v>
      </c>
      <c r="E49" t="s">
        <v>44</v>
      </c>
      <c r="H49">
        <v>47.62</v>
      </c>
      <c r="I49" t="s">
        <v>44</v>
      </c>
      <c r="L49">
        <v>47.62</v>
      </c>
      <c r="M49" t="s">
        <v>44</v>
      </c>
    </row>
    <row r="50" spans="1:13" x14ac:dyDescent="0.25">
      <c r="A50">
        <v>44</v>
      </c>
      <c r="B50" t="s">
        <v>249</v>
      </c>
      <c r="C50" t="s">
        <v>105</v>
      </c>
      <c r="D50">
        <v>590</v>
      </c>
      <c r="E50" t="s">
        <v>44</v>
      </c>
      <c r="H50">
        <v>72.05</v>
      </c>
      <c r="I50" t="s">
        <v>44</v>
      </c>
      <c r="L50">
        <v>72.05</v>
      </c>
      <c r="M50" t="s">
        <v>44</v>
      </c>
    </row>
    <row r="51" spans="1:13" x14ac:dyDescent="0.25">
      <c r="A51">
        <v>45</v>
      </c>
      <c r="B51" t="s">
        <v>250</v>
      </c>
      <c r="C51" t="s">
        <v>106</v>
      </c>
      <c r="D51">
        <v>610</v>
      </c>
      <c r="E51" t="s">
        <v>44</v>
      </c>
      <c r="H51">
        <v>10.723000000000001</v>
      </c>
      <c r="I51" t="s">
        <v>44</v>
      </c>
      <c r="L51">
        <v>10.723000000000001</v>
      </c>
      <c r="M51" t="s">
        <v>44</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LA</vt:lpstr>
      <vt:lpstr>LA Zones</vt:lpstr>
      <vt:lpstr>Use Grouping</vt:lpstr>
      <vt:lpstr>List</vt:lpstr>
      <vt:lpstr>list_clean</vt:lpstr>
      <vt:lpstr>list_clean1</vt:lpstr>
      <vt:lpstr>Flags</vt:lpstr>
      <vt:lpstr>Variables</vt:lpstr>
      <vt:lpstr>Notes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Melanie Sloan</dc:creator>
  <cp:lastModifiedBy>Andrew McClary</cp:lastModifiedBy>
  <dcterms:created xsi:type="dcterms:W3CDTF">2021-02-08T22:09:24Z</dcterms:created>
  <dcterms:modified xsi:type="dcterms:W3CDTF">2024-10-02T22:35:53Z</dcterms:modified>
</cp:coreProperties>
</file>